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ian universidad\BCA-30\"/>
    </mc:Choice>
  </mc:AlternateContent>
  <xr:revisionPtr revIDLastSave="0" documentId="13_ncr:1_{A24E0C4F-1F34-4C93-83FB-3D807A34B29A}" xr6:coauthVersionLast="47" xr6:coauthVersionMax="47" xr10:uidLastSave="{00000000-0000-0000-0000-000000000000}"/>
  <bookViews>
    <workbookView xWindow="-120" yWindow="-120" windowWidth="20730" windowHeight="11040" firstSheet="1" activeTab="2" xr2:uid="{2DD04CA9-A0A4-4536-BF3C-44AF7F02191A}"/>
  </bookViews>
  <sheets>
    <sheet name="PARQUES VS VARIABLES (2)" sheetId="8" r:id="rId1"/>
    <sheet name="Aves" sheetId="11" r:id="rId2"/>
    <sheet name="PARQUES VS VARIABLES" sheetId="1" r:id="rId3"/>
    <sheet name="PERMANOVA Y SIMPER" sheetId="6" r:id="rId4"/>
    <sheet name="Plantas" sheetId="7" r:id="rId5"/>
    <sheet name="Variables" sheetId="10" r:id="rId6"/>
    <sheet name="Hoja1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1" l="1"/>
  <c r="D8" i="11"/>
  <c r="C26" i="6"/>
  <c r="F29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31" i="6"/>
  <c r="G30" i="6"/>
  <c r="G29" i="6"/>
  <c r="G28" i="6"/>
  <c r="G27" i="6"/>
  <c r="G26" i="6"/>
  <c r="F31" i="6"/>
  <c r="F30" i="6"/>
  <c r="F28" i="6"/>
  <c r="F27" i="6"/>
  <c r="F26" i="6"/>
  <c r="E31" i="6"/>
  <c r="E30" i="6"/>
  <c r="E29" i="6"/>
  <c r="E28" i="6"/>
  <c r="E27" i="6"/>
  <c r="E26" i="6"/>
  <c r="D31" i="6"/>
  <c r="D30" i="6"/>
  <c r="D29" i="6"/>
  <c r="D28" i="6"/>
  <c r="D27" i="6"/>
  <c r="D26" i="6"/>
  <c r="C31" i="6"/>
  <c r="C30" i="6"/>
  <c r="C29" i="6"/>
  <c r="C28" i="6"/>
  <c r="C27" i="6"/>
</calcChain>
</file>

<file path=xl/sharedStrings.xml><?xml version="1.0" encoding="utf-8"?>
<sst xmlns="http://schemas.openxmlformats.org/spreadsheetml/2006/main" count="367" uniqueCount="126">
  <si>
    <t>PARQUES</t>
  </si>
  <si>
    <t>Superficies impermeables  (%)</t>
  </si>
  <si>
    <t>Superficies no impermeables  (%)</t>
  </si>
  <si>
    <t>Edificaciones  (%)</t>
  </si>
  <si>
    <t>Zenaida asiatica</t>
  </si>
  <si>
    <t>Parques</t>
  </si>
  <si>
    <t>Parque Garatias sociales</t>
  </si>
  <si>
    <t>Parque Morazan</t>
  </si>
  <si>
    <t>Parque Cañas</t>
  </si>
  <si>
    <t>Parque de la Dolorosa</t>
  </si>
  <si>
    <t>Parque Central</t>
  </si>
  <si>
    <t>Parque Braulio Carrillo</t>
  </si>
  <si>
    <t>Columba livia</t>
  </si>
  <si>
    <t>Thraupis episcopus</t>
  </si>
  <si>
    <t>Zonothrichia capensis</t>
  </si>
  <si>
    <t>Psittacara finschi</t>
  </si>
  <si>
    <t>Pitangus sulfuratus</t>
  </si>
  <si>
    <t>Tardus grayi</t>
  </si>
  <si>
    <t>Quiscalus mexicanus</t>
  </si>
  <si>
    <t>Melanerpes hoffmani</t>
  </si>
  <si>
    <t>Tyrannus melanocholicus</t>
  </si>
  <si>
    <t>Notiochelidon cyanoleuca</t>
  </si>
  <si>
    <t>Buteo plagiatus</t>
  </si>
  <si>
    <t>Parque Morazán</t>
  </si>
  <si>
    <t>Parque la Dolorosa</t>
  </si>
  <si>
    <t>Amazilia tzacatl</t>
  </si>
  <si>
    <t>Stelgidopteryx serripennis</t>
  </si>
  <si>
    <t>Pritchardia pacifica</t>
  </si>
  <si>
    <t>Cojoba arborea</t>
  </si>
  <si>
    <t>Araucaria heterophylla</t>
  </si>
  <si>
    <t>Jacaranda mimosifolia</t>
  </si>
  <si>
    <t>Citharexylum donnell-smithii</t>
  </si>
  <si>
    <t>Lagerstroemia speciosa</t>
  </si>
  <si>
    <t>Syzygium paniculatum</t>
  </si>
  <si>
    <t>Trichilia havanensis</t>
  </si>
  <si>
    <t>Sp 8</t>
  </si>
  <si>
    <t>Sp 7</t>
  </si>
  <si>
    <t>Sp 9</t>
  </si>
  <si>
    <t>Ligustrum lucidum</t>
  </si>
  <si>
    <t>Trema micrantha</t>
  </si>
  <si>
    <t>Gmelina arborea</t>
  </si>
  <si>
    <t>Tabebuia rosea</t>
  </si>
  <si>
    <t>Ficus benjamina</t>
  </si>
  <si>
    <t>Lagerstroemia indica</t>
  </si>
  <si>
    <t>Clusia flava</t>
  </si>
  <si>
    <t>Philodendron bipinnatifidum</t>
  </si>
  <si>
    <t>Robinia pseudoacacia</t>
  </si>
  <si>
    <t>Delonix regia</t>
  </si>
  <si>
    <t>Amorpha fruticosa</t>
  </si>
  <si>
    <t>Parque Dolorosa</t>
  </si>
  <si>
    <t>Parque Garantías Sociales</t>
  </si>
  <si>
    <t>Bauhinia purpurea</t>
  </si>
  <si>
    <t>Myiozetetes similis</t>
  </si>
  <si>
    <t>Brotogeris jugularis</t>
  </si>
  <si>
    <t>Mimus giluus</t>
  </si>
  <si>
    <t>Amazillia saucerottei</t>
  </si>
  <si>
    <t>Amazilia rutita</t>
  </si>
  <si>
    <t xml:space="preserve">Parque Central </t>
  </si>
  <si>
    <t>Diphysa americana</t>
  </si>
  <si>
    <t>Clusia rosea</t>
  </si>
  <si>
    <t>Schinus terebinthifolius</t>
  </si>
  <si>
    <t>Murraya paniculata</t>
  </si>
  <si>
    <t>Replicas</t>
  </si>
  <si>
    <t>Semana 1</t>
  </si>
  <si>
    <t>Semana 2</t>
  </si>
  <si>
    <t>Pitagioena flavirostris</t>
  </si>
  <si>
    <t>Cillistemon  viminalis</t>
  </si>
  <si>
    <t>Magnifera indica</t>
  </si>
  <si>
    <t>Spathodea campanulata</t>
  </si>
  <si>
    <t>Syzygium cumini</t>
  </si>
  <si>
    <t>Corymbia citriodora</t>
  </si>
  <si>
    <t>Total</t>
  </si>
  <si>
    <t>Especies</t>
  </si>
  <si>
    <t xml:space="preserve">Handroanthus chrysanthus subsp. chrysanthus </t>
  </si>
  <si>
    <t>Sp 10</t>
  </si>
  <si>
    <t>Duranta erecta</t>
  </si>
  <si>
    <t>Sp 11</t>
  </si>
  <si>
    <t>Sp 12</t>
  </si>
  <si>
    <t>Thraupis palmarum</t>
  </si>
  <si>
    <t>Calliandra surinamensis</t>
  </si>
  <si>
    <t>Equitatividad de aves</t>
  </si>
  <si>
    <t>Heterogeneidad de plantas</t>
  </si>
  <si>
    <t>Riqueza de plantas</t>
  </si>
  <si>
    <t>Abundancia total de plantas</t>
  </si>
  <si>
    <t>Equitatividad de plantas</t>
  </si>
  <si>
    <t>Dominancia de plantas</t>
  </si>
  <si>
    <t>Dominancia de aves</t>
  </si>
  <si>
    <t>Heterogeneidad de aves</t>
  </si>
  <si>
    <r>
      <t>Cobertura arborea (</t>
    </r>
    <r>
      <rPr>
        <b/>
        <sz val="11"/>
        <color theme="1"/>
        <rFont val="Aptos Narrow"/>
        <family val="2"/>
      </rPr>
      <t>%)</t>
    </r>
  </si>
  <si>
    <t>Cobertura arbustiva (%)</t>
  </si>
  <si>
    <t>Numero de estratos</t>
  </si>
  <si>
    <t>Tamaño del parque</t>
  </si>
  <si>
    <t>Riqueza de aves</t>
  </si>
  <si>
    <t>Abundancia total de aves</t>
  </si>
  <si>
    <t>Semana 3</t>
  </si>
  <si>
    <t>Colombina inca</t>
  </si>
  <si>
    <t>Spinus psaltria</t>
  </si>
  <si>
    <t>Todirostrum cinereum</t>
  </si>
  <si>
    <t>Abundancia total plantas</t>
  </si>
  <si>
    <t>Dominancia plantas</t>
  </si>
  <si>
    <t>Equitatividad plantas</t>
  </si>
  <si>
    <t>Riqueza plantas</t>
  </si>
  <si>
    <t>Heterogeneidad plantas</t>
  </si>
  <si>
    <t>Mimus gilvus</t>
  </si>
  <si>
    <t>Megaryncus pitangua</t>
  </si>
  <si>
    <t>Colibrí no identificado</t>
  </si>
  <si>
    <t>2.165958</t>
  </si>
  <si>
    <t>1.927550</t>
  </si>
  <si>
    <t>1.544881</t>
  </si>
  <si>
    <t>1.853342</t>
  </si>
  <si>
    <t>2.033635</t>
  </si>
  <si>
    <t>1.880992</t>
  </si>
  <si>
    <t>0.7997143</t>
  </si>
  <si>
    <t>0.8140358</t>
  </si>
  <si>
    <t>0.7448376</t>
  </si>
  <si>
    <t>0.7563776</t>
  </si>
  <si>
    <t xml:space="preserve"> 0.8235938</t>
  </si>
  <si>
    <t>0.7767863</t>
  </si>
  <si>
    <t>0.7230145</t>
  </si>
  <si>
    <t>0.7514963</t>
  </si>
  <si>
    <t>0.7939120</t>
  </si>
  <si>
    <t>0.7225646</t>
  </si>
  <si>
    <t>0.7705915</t>
  </si>
  <si>
    <t>0.7844345</t>
  </si>
  <si>
    <t>Varibales</t>
  </si>
  <si>
    <t>Parque La  Dolorosa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</si>
</sst>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Aptos Narrow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Lucida Console"/>
      <family val="3"/>
    </font>
    <font>
      <sz val="10"/>
      <color rgb="FF2029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horizontal="right" vertical="center"/>
    </xf>
    <xf numFmtId="0" fontId="0" fillId="2" borderId="0" xfId="0" applyFill="1"/>
    <xf numFmtId="0" fontId="1" fillId="3" borderId="0" xfId="0" applyFont="1" applyFill="1"/>
    <xf numFmtId="0" fontId="3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0" fillId="3" borderId="0" xfId="0" applyFill="1"/>
    <xf numFmtId="0" fontId="1" fillId="0" borderId="1" xfId="0" applyFont="1" applyBorder="1"/>
    <xf numFmtId="0" fontId="1" fillId="0" borderId="2" xfId="0" applyFont="1" applyBorder="1"/>
    <xf numFmtId="0" fontId="3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0" fontId="0" fillId="0" borderId="2" xfId="0" applyBorder="1"/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5A7A"/>
      <color rgb="FF17688D"/>
      <color rgb="FF0088B8"/>
      <color rgb="FF19739B"/>
      <color rgb="FF83B4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5D1E-0413-486D-8642-1409ABEE4448}">
  <dimension ref="A1:AB14"/>
  <sheetViews>
    <sheetView topLeftCell="J1" zoomScale="96" workbookViewId="0">
      <selection activeCell="Q2" sqref="Q2"/>
    </sheetView>
  </sheetViews>
  <sheetFormatPr baseColWidth="10" defaultRowHeight="15" x14ac:dyDescent="0.25"/>
  <cols>
    <col min="1" max="1" width="20.5703125" customWidth="1"/>
    <col min="2" max="2" width="24.140625" style="9" customWidth="1"/>
    <col min="3" max="3" width="26.28515625" style="9" customWidth="1"/>
    <col min="4" max="4" width="27.5703125" style="9" customWidth="1"/>
    <col min="5" max="5" width="30.28515625" style="9" customWidth="1"/>
    <col min="6" max="6" width="18.85546875" style="9" customWidth="1"/>
    <col min="7" max="7" width="20.7109375" style="9" customWidth="1"/>
    <col min="8" max="8" width="21.28515625" style="9" customWidth="1"/>
    <col min="9" max="9" width="18.7109375" style="13" customWidth="1"/>
    <col min="10" max="10" width="25.42578125" style="13" customWidth="1"/>
    <col min="11" max="11" width="21.42578125" style="13" customWidth="1"/>
    <col min="12" max="12" width="20.85546875" style="13" customWidth="1"/>
    <col min="13" max="13" width="23.7109375" style="13" customWidth="1"/>
    <col min="14" max="14" width="19.28515625" customWidth="1"/>
    <col min="15" max="15" width="18.140625" customWidth="1"/>
    <col min="16" max="16" width="21.5703125" customWidth="1"/>
    <col min="17" max="17" width="16.42578125" customWidth="1"/>
    <col min="18" max="18" width="22.5703125" customWidth="1"/>
  </cols>
  <sheetData>
    <row r="1" spans="1:28" x14ac:dyDescent="0.25">
      <c r="A1" s="1" t="s">
        <v>0</v>
      </c>
      <c r="B1" s="7" t="s">
        <v>88</v>
      </c>
      <c r="C1" s="7" t="s">
        <v>89</v>
      </c>
      <c r="D1" s="7" t="s">
        <v>1</v>
      </c>
      <c r="E1" s="7" t="s">
        <v>2</v>
      </c>
      <c r="F1" s="7" t="s">
        <v>3</v>
      </c>
      <c r="G1" s="7" t="s">
        <v>91</v>
      </c>
      <c r="H1" s="7" t="s">
        <v>90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81</v>
      </c>
      <c r="N1" s="1" t="s">
        <v>80</v>
      </c>
      <c r="O1" s="1" t="s">
        <v>86</v>
      </c>
      <c r="P1" s="1" t="s">
        <v>87</v>
      </c>
      <c r="Q1" s="1" t="s">
        <v>92</v>
      </c>
      <c r="R1" s="1" t="s">
        <v>93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23</v>
      </c>
      <c r="B2" s="8">
        <v>51.82</v>
      </c>
      <c r="C2" s="8">
        <v>24.26</v>
      </c>
      <c r="D2" s="8">
        <v>68.7</v>
      </c>
      <c r="E2" s="8">
        <v>38.799999999999997</v>
      </c>
      <c r="F2" s="8">
        <v>3.7</v>
      </c>
      <c r="G2" s="9">
        <v>6664.1750000000002</v>
      </c>
      <c r="H2" s="9">
        <v>6</v>
      </c>
      <c r="I2" s="11">
        <v>9</v>
      </c>
      <c r="J2" s="11">
        <v>41</v>
      </c>
      <c r="K2" s="12">
        <v>0.75856959999999996</v>
      </c>
      <c r="L2" s="12">
        <v>0.74360499999999996</v>
      </c>
      <c r="M2" s="12">
        <v>1.6667479999999999</v>
      </c>
      <c r="N2" s="6" t="s">
        <v>118</v>
      </c>
      <c r="O2" s="6" t="s">
        <v>112</v>
      </c>
      <c r="P2" s="6" t="s">
        <v>106</v>
      </c>
      <c r="Q2">
        <v>20</v>
      </c>
      <c r="R2">
        <v>297</v>
      </c>
    </row>
    <row r="3" spans="1:28" x14ac:dyDescent="0.25">
      <c r="A3" s="1" t="s">
        <v>50</v>
      </c>
      <c r="B3" s="8">
        <v>15.81</v>
      </c>
      <c r="C3" s="8">
        <v>0.83</v>
      </c>
      <c r="D3" s="8">
        <v>62.87</v>
      </c>
      <c r="E3" s="8">
        <v>5.0199999999999996</v>
      </c>
      <c r="F3" s="8">
        <v>0.38</v>
      </c>
      <c r="G3" s="9">
        <v>6958.92</v>
      </c>
      <c r="H3" s="8">
        <v>8</v>
      </c>
      <c r="I3" s="11">
        <v>3</v>
      </c>
      <c r="J3" s="11">
        <v>22</v>
      </c>
      <c r="K3" s="12">
        <v>0.9445114</v>
      </c>
      <c r="L3" s="12">
        <v>0.62396689999999999</v>
      </c>
      <c r="M3" s="12">
        <v>1.037652</v>
      </c>
      <c r="N3" s="6" t="s">
        <v>119</v>
      </c>
      <c r="O3" s="6" t="s">
        <v>113</v>
      </c>
      <c r="P3" s="6" t="s">
        <v>107</v>
      </c>
      <c r="Q3" s="2">
        <v>13</v>
      </c>
      <c r="R3" s="2">
        <v>98</v>
      </c>
    </row>
    <row r="4" spans="1:28" x14ac:dyDescent="0.25">
      <c r="A4" s="1" t="s">
        <v>10</v>
      </c>
      <c r="B4" s="8">
        <v>51.35</v>
      </c>
      <c r="C4" s="8">
        <v>51.27</v>
      </c>
      <c r="D4" s="8">
        <v>58.63</v>
      </c>
      <c r="E4" s="8">
        <v>0</v>
      </c>
      <c r="F4" s="8">
        <v>3.68</v>
      </c>
      <c r="G4" s="9">
        <v>2142.2280000000001</v>
      </c>
      <c r="H4" s="8">
        <v>9</v>
      </c>
      <c r="I4" s="11">
        <v>8</v>
      </c>
      <c r="J4" s="11">
        <v>15</v>
      </c>
      <c r="K4" s="12">
        <v>0.9178115</v>
      </c>
      <c r="L4" s="12">
        <v>0.8265306</v>
      </c>
      <c r="M4" s="12">
        <v>1.9085350000000001</v>
      </c>
      <c r="N4" s="6" t="s">
        <v>120</v>
      </c>
      <c r="O4" s="6" t="s">
        <v>114</v>
      </c>
      <c r="P4" s="6" t="s">
        <v>108</v>
      </c>
      <c r="Q4" s="6">
        <v>7</v>
      </c>
      <c r="R4" s="6">
        <v>91</v>
      </c>
    </row>
    <row r="5" spans="1:28" x14ac:dyDescent="0.25">
      <c r="A5" s="1" t="s">
        <v>11</v>
      </c>
      <c r="B5" s="8">
        <v>30.36</v>
      </c>
      <c r="C5" s="8">
        <v>13.88</v>
      </c>
      <c r="D5" s="8">
        <v>55.76</v>
      </c>
      <c r="E5" s="8">
        <v>0</v>
      </c>
      <c r="F5" s="8">
        <v>0</v>
      </c>
      <c r="G5" s="9">
        <v>6278.4189999999999</v>
      </c>
      <c r="H5" s="8">
        <v>6</v>
      </c>
      <c r="I5" s="11">
        <v>15</v>
      </c>
      <c r="J5" s="11">
        <v>42</v>
      </c>
      <c r="K5" s="12">
        <v>0.82858600000000004</v>
      </c>
      <c r="L5" s="12">
        <v>0.84473529999999997</v>
      </c>
      <c r="M5" s="12">
        <v>2.2438530000000001</v>
      </c>
      <c r="N5" s="6" t="s">
        <v>121</v>
      </c>
      <c r="O5" s="6" t="s">
        <v>115</v>
      </c>
      <c r="P5" s="6" t="s">
        <v>109</v>
      </c>
      <c r="Q5">
        <v>13</v>
      </c>
      <c r="R5">
        <v>168</v>
      </c>
    </row>
    <row r="6" spans="1:28" x14ac:dyDescent="0.25">
      <c r="A6" s="1" t="s">
        <v>8</v>
      </c>
      <c r="B6" s="8">
        <v>20.46</v>
      </c>
      <c r="C6" s="8">
        <v>4.78</v>
      </c>
      <c r="D6" s="8">
        <v>56.7</v>
      </c>
      <c r="E6" s="8">
        <v>17.57</v>
      </c>
      <c r="F6" s="8">
        <v>0.49</v>
      </c>
      <c r="G6" s="9">
        <v>7040.3909999999996</v>
      </c>
      <c r="H6" s="9">
        <v>6</v>
      </c>
      <c r="I6" s="11">
        <v>10</v>
      </c>
      <c r="J6" s="11">
        <v>23</v>
      </c>
      <c r="K6" s="12">
        <v>0.82759720000000003</v>
      </c>
      <c r="L6" s="12">
        <v>0.80208330000000005</v>
      </c>
      <c r="M6" s="12">
        <v>1.905613</v>
      </c>
      <c r="N6" s="6" t="s">
        <v>122</v>
      </c>
      <c r="O6" s="6" t="s">
        <v>116</v>
      </c>
      <c r="P6" s="6" t="s">
        <v>110</v>
      </c>
      <c r="Q6">
        <v>14</v>
      </c>
      <c r="R6">
        <v>160</v>
      </c>
    </row>
    <row r="7" spans="1:28" x14ac:dyDescent="0.25">
      <c r="A7" s="1" t="s">
        <v>24</v>
      </c>
      <c r="B7" s="8">
        <v>14.04</v>
      </c>
      <c r="C7" s="8">
        <v>8.64</v>
      </c>
      <c r="D7" s="8">
        <v>75.430000000000007</v>
      </c>
      <c r="E7" s="8">
        <v>1.24</v>
      </c>
      <c r="F7" s="8">
        <v>0</v>
      </c>
      <c r="G7" s="9">
        <v>5687.07</v>
      </c>
      <c r="H7" s="8">
        <v>7</v>
      </c>
      <c r="I7" s="11">
        <v>3</v>
      </c>
      <c r="J7" s="11">
        <v>13</v>
      </c>
      <c r="K7" s="12">
        <v>0.99473719999999999</v>
      </c>
      <c r="L7" s="12">
        <v>0.66272189999999997</v>
      </c>
      <c r="M7" s="12">
        <v>1.0928310000000001</v>
      </c>
      <c r="N7" s="6" t="s">
        <v>123</v>
      </c>
      <c r="O7" s="6" t="s">
        <v>117</v>
      </c>
      <c r="P7" s="6" t="s">
        <v>111</v>
      </c>
      <c r="Q7" s="18">
        <v>11</v>
      </c>
      <c r="R7" s="18">
        <v>123</v>
      </c>
    </row>
    <row r="8" spans="1:28" x14ac:dyDescent="0.25">
      <c r="A8" s="1"/>
    </row>
    <row r="9" spans="1:28" x14ac:dyDescent="0.25">
      <c r="N9" s="3"/>
      <c r="O9" s="3"/>
      <c r="P9" s="3"/>
    </row>
    <row r="10" spans="1:28" x14ac:dyDescent="0.25">
      <c r="N10" s="3"/>
      <c r="O10" s="3"/>
      <c r="P10" s="3"/>
      <c r="Q10" s="3"/>
    </row>
    <row r="11" spans="1:28" x14ac:dyDescent="0.25">
      <c r="N11" s="3"/>
      <c r="O11" s="3"/>
      <c r="P11" s="3"/>
      <c r="Q11" s="3"/>
    </row>
    <row r="12" spans="1:28" x14ac:dyDescent="0.25">
      <c r="N12" s="3"/>
      <c r="O12" s="3"/>
      <c r="P12" s="3"/>
      <c r="Q12" s="3"/>
    </row>
    <row r="13" spans="1:28" x14ac:dyDescent="0.25">
      <c r="N13" s="3"/>
      <c r="O13" s="3"/>
      <c r="P13" s="3"/>
      <c r="Q13" s="3"/>
    </row>
    <row r="14" spans="1:28" x14ac:dyDescent="0.25">
      <c r="N14" s="3"/>
      <c r="O14" s="3"/>
      <c r="P14" s="3"/>
      <c r="Q1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BD32-13AA-42AD-992C-9F4E549303DF}">
  <dimension ref="A1:E8"/>
  <sheetViews>
    <sheetView workbookViewId="0">
      <selection activeCell="A6" sqref="A6"/>
    </sheetView>
  </sheetViews>
  <sheetFormatPr baseColWidth="10" defaultRowHeight="15" x14ac:dyDescent="0.25"/>
  <cols>
    <col min="1" max="1" width="23.28515625" customWidth="1"/>
    <col min="2" max="2" width="21" customWidth="1"/>
    <col min="3" max="3" width="22.85546875" customWidth="1"/>
    <col min="4" max="4" width="16" customWidth="1"/>
    <col min="5" max="5" width="22.85546875" customWidth="1"/>
  </cols>
  <sheetData>
    <row r="1" spans="1:5" x14ac:dyDescent="0.25">
      <c r="A1" s="1" t="s">
        <v>80</v>
      </c>
      <c r="B1" s="1" t="s">
        <v>86</v>
      </c>
      <c r="C1" s="1" t="s">
        <v>87</v>
      </c>
      <c r="D1" s="1" t="s">
        <v>92</v>
      </c>
      <c r="E1" s="1" t="s">
        <v>93</v>
      </c>
    </row>
    <row r="2" spans="1:5" x14ac:dyDescent="0.25">
      <c r="A2" s="6" t="s">
        <v>118</v>
      </c>
      <c r="B2" s="6" t="s">
        <v>112</v>
      </c>
      <c r="C2" s="6" t="s">
        <v>106</v>
      </c>
      <c r="D2">
        <v>20</v>
      </c>
      <c r="E2">
        <v>297</v>
      </c>
    </row>
    <row r="3" spans="1:5" x14ac:dyDescent="0.25">
      <c r="A3" s="6" t="s">
        <v>119</v>
      </c>
      <c r="B3" s="6" t="s">
        <v>113</v>
      </c>
      <c r="C3" s="6" t="s">
        <v>107</v>
      </c>
      <c r="D3" s="2">
        <v>13</v>
      </c>
      <c r="E3" s="2">
        <v>98</v>
      </c>
    </row>
    <row r="4" spans="1:5" x14ac:dyDescent="0.25">
      <c r="A4" s="6" t="s">
        <v>120</v>
      </c>
      <c r="B4" s="6" t="s">
        <v>114</v>
      </c>
      <c r="C4" s="6" t="s">
        <v>108</v>
      </c>
      <c r="D4" s="6">
        <v>7</v>
      </c>
      <c r="E4" s="6">
        <v>91</v>
      </c>
    </row>
    <row r="5" spans="1:5" x14ac:dyDescent="0.25">
      <c r="A5" s="6" t="s">
        <v>121</v>
      </c>
      <c r="B5" s="6" t="s">
        <v>115</v>
      </c>
      <c r="C5" s="6" t="s">
        <v>109</v>
      </c>
      <c r="D5">
        <v>13</v>
      </c>
      <c r="E5">
        <v>168</v>
      </c>
    </row>
    <row r="6" spans="1:5" x14ac:dyDescent="0.25">
      <c r="A6" s="6" t="s">
        <v>122</v>
      </c>
      <c r="B6" s="6" t="s">
        <v>116</v>
      </c>
      <c r="C6" s="6" t="s">
        <v>110</v>
      </c>
      <c r="D6">
        <v>14</v>
      </c>
      <c r="E6">
        <v>160</v>
      </c>
    </row>
    <row r="7" spans="1:5" x14ac:dyDescent="0.25">
      <c r="A7" s="6" t="s">
        <v>123</v>
      </c>
      <c r="B7" s="6" t="s">
        <v>117</v>
      </c>
      <c r="C7" s="6" t="s">
        <v>111</v>
      </c>
      <c r="D7" s="18">
        <v>11</v>
      </c>
      <c r="E7" s="18">
        <v>123</v>
      </c>
    </row>
    <row r="8" spans="1:5" x14ac:dyDescent="0.25">
      <c r="D8">
        <f>SUM(D2:D7)</f>
        <v>78</v>
      </c>
      <c r="E8">
        <f>SUM(E2:E7)</f>
        <v>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E5A6-A575-470E-8328-F57EDF552CA7}">
  <dimension ref="A1:AB53"/>
  <sheetViews>
    <sheetView tabSelected="1" zoomScale="113" zoomScaleNormal="208" workbookViewId="0">
      <selection activeCell="D32" sqref="D32"/>
    </sheetView>
  </sheetViews>
  <sheetFormatPr baseColWidth="10" defaultRowHeight="15" x14ac:dyDescent="0.25"/>
  <cols>
    <col min="1" max="1" width="29.85546875" customWidth="1"/>
    <col min="2" max="2" width="20.42578125" customWidth="1"/>
    <col min="3" max="3" width="21.140625" customWidth="1"/>
    <col min="4" max="4" width="27.5703125" customWidth="1"/>
    <col min="5" max="5" width="30.28515625" customWidth="1"/>
    <col min="6" max="6" width="18.85546875" customWidth="1"/>
    <col min="7" max="7" width="17.5703125" customWidth="1"/>
    <col min="8" max="8" width="21.85546875" customWidth="1"/>
    <col min="9" max="9" width="19.42578125" customWidth="1"/>
    <col min="10" max="10" width="18.5703125" customWidth="1"/>
    <col min="11" max="11" width="21.140625" customWidth="1"/>
    <col min="12" max="12" width="18" customWidth="1"/>
    <col min="13" max="13" width="17.42578125" customWidth="1"/>
    <col min="14" max="14" width="19.28515625" customWidth="1"/>
    <col min="15" max="15" width="18.140625" customWidth="1"/>
    <col min="16" max="16" width="21.5703125" customWidth="1"/>
    <col min="17" max="17" width="16.42578125" customWidth="1"/>
    <col min="18" max="18" width="22.5703125" customWidth="1"/>
  </cols>
  <sheetData>
    <row r="1" spans="1:28" x14ac:dyDescent="0.25">
      <c r="A1" s="14" t="s">
        <v>5</v>
      </c>
      <c r="B1" s="14" t="s">
        <v>88</v>
      </c>
      <c r="C1" s="14" t="s">
        <v>89</v>
      </c>
      <c r="D1" s="14" t="s">
        <v>1</v>
      </c>
      <c r="E1" s="14" t="s">
        <v>2</v>
      </c>
      <c r="F1" s="14" t="s">
        <v>3</v>
      </c>
      <c r="G1" s="14" t="s">
        <v>101</v>
      </c>
      <c r="H1" s="14" t="s">
        <v>98</v>
      </c>
      <c r="I1" s="14" t="s">
        <v>100</v>
      </c>
      <c r="J1" s="14" t="s">
        <v>99</v>
      </c>
      <c r="K1" s="14" t="s">
        <v>102</v>
      </c>
      <c r="L1" s="14" t="s">
        <v>90</v>
      </c>
      <c r="M1" s="14" t="s">
        <v>91</v>
      </c>
      <c r="N1" s="1" t="s">
        <v>80</v>
      </c>
      <c r="O1" s="1" t="s">
        <v>86</v>
      </c>
      <c r="P1" s="1" t="s">
        <v>87</v>
      </c>
      <c r="Q1" s="1" t="s">
        <v>92</v>
      </c>
      <c r="R1" s="1" t="s">
        <v>93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23</v>
      </c>
      <c r="B2" s="2">
        <v>51.82</v>
      </c>
      <c r="C2" s="2">
        <v>24.26</v>
      </c>
      <c r="D2" s="2">
        <v>68.7</v>
      </c>
      <c r="E2" s="2">
        <v>38.799999999999997</v>
      </c>
      <c r="F2" s="2">
        <v>3.7</v>
      </c>
      <c r="G2" s="2">
        <v>9</v>
      </c>
      <c r="H2" s="2">
        <v>41</v>
      </c>
      <c r="I2" s="6">
        <v>0.75856959999999996</v>
      </c>
      <c r="J2" s="6">
        <v>0.74360499999999996</v>
      </c>
      <c r="K2" s="6">
        <v>1.6667479999999999</v>
      </c>
      <c r="L2">
        <v>6</v>
      </c>
      <c r="M2">
        <v>6664.1750000000002</v>
      </c>
      <c r="N2" s="6" t="s">
        <v>118</v>
      </c>
      <c r="O2" s="6" t="s">
        <v>112</v>
      </c>
      <c r="P2" s="6" t="s">
        <v>106</v>
      </c>
      <c r="Q2">
        <v>20</v>
      </c>
      <c r="R2">
        <v>297</v>
      </c>
    </row>
    <row r="3" spans="1:28" x14ac:dyDescent="0.25">
      <c r="A3" s="1" t="s">
        <v>50</v>
      </c>
      <c r="B3" s="2">
        <v>15.81</v>
      </c>
      <c r="C3" s="2">
        <v>0.83</v>
      </c>
      <c r="D3" s="2">
        <v>62.87</v>
      </c>
      <c r="E3" s="2">
        <v>5.0199999999999996</v>
      </c>
      <c r="F3" s="2">
        <v>0.38</v>
      </c>
      <c r="G3" s="2">
        <v>3</v>
      </c>
      <c r="H3" s="2">
        <v>22</v>
      </c>
      <c r="I3" s="6">
        <v>0.9445114</v>
      </c>
      <c r="J3" s="6">
        <v>0.62396689999999999</v>
      </c>
      <c r="K3" s="6">
        <v>1.037652</v>
      </c>
      <c r="L3" s="2">
        <v>8</v>
      </c>
      <c r="M3">
        <v>6958.92</v>
      </c>
      <c r="N3" s="6" t="s">
        <v>119</v>
      </c>
      <c r="O3" s="6" t="s">
        <v>113</v>
      </c>
      <c r="P3" s="6" t="s">
        <v>107</v>
      </c>
      <c r="Q3" s="2">
        <v>13</v>
      </c>
      <c r="R3" s="2">
        <v>98</v>
      </c>
    </row>
    <row r="4" spans="1:28" x14ac:dyDescent="0.25">
      <c r="A4" s="1" t="s">
        <v>10</v>
      </c>
      <c r="B4" s="2">
        <v>51.35</v>
      </c>
      <c r="C4" s="2">
        <v>51.27</v>
      </c>
      <c r="D4" s="2">
        <v>58.63</v>
      </c>
      <c r="E4" s="2">
        <v>0</v>
      </c>
      <c r="F4" s="2">
        <v>3.68</v>
      </c>
      <c r="G4" s="2">
        <v>8</v>
      </c>
      <c r="H4" s="2">
        <v>15</v>
      </c>
      <c r="I4" s="6">
        <v>0.9178115</v>
      </c>
      <c r="J4" s="6">
        <v>0.8265306</v>
      </c>
      <c r="K4" s="6">
        <v>1.9085350000000001</v>
      </c>
      <c r="L4" s="2">
        <v>9</v>
      </c>
      <c r="M4">
        <v>2142.2280000000001</v>
      </c>
      <c r="N4" s="6" t="s">
        <v>120</v>
      </c>
      <c r="O4" s="6" t="s">
        <v>114</v>
      </c>
      <c r="P4" s="6" t="s">
        <v>108</v>
      </c>
      <c r="Q4" s="6">
        <v>7</v>
      </c>
      <c r="R4" s="6">
        <v>91</v>
      </c>
    </row>
    <row r="5" spans="1:28" x14ac:dyDescent="0.25">
      <c r="A5" s="1" t="s">
        <v>11</v>
      </c>
      <c r="B5" s="2">
        <v>30.36</v>
      </c>
      <c r="C5" s="2">
        <v>13.88</v>
      </c>
      <c r="D5" s="2">
        <v>55.76</v>
      </c>
      <c r="E5" s="2">
        <v>0</v>
      </c>
      <c r="F5" s="2">
        <v>0</v>
      </c>
      <c r="G5" s="2">
        <v>15</v>
      </c>
      <c r="H5" s="2">
        <v>42</v>
      </c>
      <c r="I5" s="6">
        <v>0.82858600000000004</v>
      </c>
      <c r="J5" s="6">
        <v>0.84473529999999997</v>
      </c>
      <c r="K5" s="6">
        <v>2.2438530000000001</v>
      </c>
      <c r="L5" s="2">
        <v>6</v>
      </c>
      <c r="M5">
        <v>6278.4189999999999</v>
      </c>
      <c r="N5" s="6" t="s">
        <v>121</v>
      </c>
      <c r="O5" s="6" t="s">
        <v>115</v>
      </c>
      <c r="P5" s="6" t="s">
        <v>109</v>
      </c>
      <c r="Q5">
        <v>13</v>
      </c>
      <c r="R5">
        <v>168</v>
      </c>
    </row>
    <row r="6" spans="1:28" x14ac:dyDescent="0.25">
      <c r="A6" s="1" t="s">
        <v>8</v>
      </c>
      <c r="B6" s="2">
        <v>20.46</v>
      </c>
      <c r="C6" s="2">
        <v>4.78</v>
      </c>
      <c r="D6" s="2">
        <v>56.7</v>
      </c>
      <c r="E6" s="2">
        <v>17.57</v>
      </c>
      <c r="F6" s="2">
        <v>0.49</v>
      </c>
      <c r="G6" s="2">
        <v>10</v>
      </c>
      <c r="H6" s="2">
        <v>23</v>
      </c>
      <c r="I6" s="6">
        <v>0.82759720000000003</v>
      </c>
      <c r="J6" s="6">
        <v>0.80208330000000005</v>
      </c>
      <c r="K6" s="6">
        <v>1.905613</v>
      </c>
      <c r="L6">
        <v>6</v>
      </c>
      <c r="M6">
        <v>7040.3909999999996</v>
      </c>
      <c r="N6" s="6" t="s">
        <v>122</v>
      </c>
      <c r="O6" s="6" t="s">
        <v>116</v>
      </c>
      <c r="P6" s="6" t="s">
        <v>110</v>
      </c>
      <c r="Q6">
        <v>14</v>
      </c>
      <c r="R6">
        <v>160</v>
      </c>
    </row>
    <row r="7" spans="1:28" s="18" customFormat="1" x14ac:dyDescent="0.25">
      <c r="A7" s="15" t="s">
        <v>24</v>
      </c>
      <c r="B7" s="16">
        <v>14.04</v>
      </c>
      <c r="C7" s="16">
        <v>8.64</v>
      </c>
      <c r="D7" s="16">
        <v>75.430000000000007</v>
      </c>
      <c r="E7" s="16">
        <v>1.24</v>
      </c>
      <c r="F7" s="16">
        <v>0</v>
      </c>
      <c r="G7" s="16">
        <v>3</v>
      </c>
      <c r="H7" s="16">
        <v>13</v>
      </c>
      <c r="I7" s="17">
        <v>0.99473719999999999</v>
      </c>
      <c r="J7" s="17">
        <v>0.66272189999999997</v>
      </c>
      <c r="K7" s="17">
        <v>1.0928310000000001</v>
      </c>
      <c r="L7" s="16">
        <v>7</v>
      </c>
      <c r="M7" s="18">
        <v>5687.07</v>
      </c>
      <c r="N7" s="6" t="s">
        <v>123</v>
      </c>
      <c r="O7" s="6" t="s">
        <v>117</v>
      </c>
      <c r="P7" s="6" t="s">
        <v>111</v>
      </c>
      <c r="Q7" s="18">
        <v>11</v>
      </c>
      <c r="R7" s="18">
        <v>123</v>
      </c>
    </row>
    <row r="8" spans="1:28" x14ac:dyDescent="0.25">
      <c r="A8" s="1"/>
    </row>
    <row r="9" spans="1:28" x14ac:dyDescent="0.25">
      <c r="N9" s="3"/>
      <c r="O9" s="3"/>
      <c r="P9" s="3"/>
    </row>
    <row r="10" spans="1:28" x14ac:dyDescent="0.25">
      <c r="N10" s="3"/>
      <c r="O10" s="3"/>
      <c r="P10" s="3"/>
      <c r="Q10" s="3"/>
    </row>
    <row r="11" spans="1:28" x14ac:dyDescent="0.25">
      <c r="A11" s="14" t="s">
        <v>124</v>
      </c>
      <c r="B11" s="1" t="s">
        <v>23</v>
      </c>
      <c r="C11" s="1"/>
      <c r="D11" s="1"/>
      <c r="E11" s="1"/>
      <c r="F11" s="1"/>
      <c r="N11" s="3"/>
      <c r="O11" s="3"/>
      <c r="P11" s="3"/>
      <c r="Q11" s="3"/>
    </row>
    <row r="12" spans="1:28" x14ac:dyDescent="0.25">
      <c r="A12" s="14" t="s">
        <v>88</v>
      </c>
      <c r="B12" s="2">
        <v>51.82</v>
      </c>
      <c r="C12" s="2"/>
      <c r="D12" s="2"/>
      <c r="E12" s="2"/>
      <c r="F12" s="2"/>
      <c r="N12" s="3"/>
      <c r="O12" s="3"/>
      <c r="P12" s="3"/>
      <c r="Q12" s="3"/>
    </row>
    <row r="13" spans="1:28" x14ac:dyDescent="0.25">
      <c r="A13" s="14" t="s">
        <v>89</v>
      </c>
      <c r="B13" s="2">
        <v>24.26</v>
      </c>
      <c r="C13" s="2"/>
      <c r="D13" s="2"/>
      <c r="E13" s="2"/>
      <c r="F13" s="2"/>
      <c r="N13" s="3"/>
      <c r="O13" s="3"/>
      <c r="P13" s="3"/>
      <c r="Q13" s="3"/>
    </row>
    <row r="14" spans="1:28" x14ac:dyDescent="0.25">
      <c r="A14" s="14" t="s">
        <v>1</v>
      </c>
      <c r="B14" s="2">
        <v>68.7</v>
      </c>
      <c r="C14" s="2"/>
      <c r="D14" s="2"/>
      <c r="E14" s="2"/>
      <c r="F14" s="2"/>
      <c r="N14" s="3"/>
      <c r="O14" s="3"/>
      <c r="P14" s="3"/>
      <c r="Q14" s="3"/>
    </row>
    <row r="15" spans="1:28" x14ac:dyDescent="0.25">
      <c r="A15" s="14" t="s">
        <v>2</v>
      </c>
      <c r="B15" s="2">
        <v>38.799999999999997</v>
      </c>
      <c r="C15" s="2"/>
      <c r="D15" s="2"/>
      <c r="E15" s="2"/>
      <c r="F15" s="2"/>
    </row>
    <row r="16" spans="1:28" x14ac:dyDescent="0.25">
      <c r="A16" s="14" t="s">
        <v>3</v>
      </c>
      <c r="B16" s="2">
        <v>3.7</v>
      </c>
      <c r="C16" s="2"/>
      <c r="D16" s="2"/>
      <c r="E16" s="2"/>
      <c r="F16" s="2"/>
    </row>
    <row r="17" spans="1:7" x14ac:dyDescent="0.25">
      <c r="A17" s="15"/>
      <c r="C17" s="16"/>
      <c r="D17" s="16"/>
      <c r="E17" s="16"/>
      <c r="F17" s="16"/>
      <c r="G17" s="16"/>
    </row>
    <row r="19" spans="1:7" x14ac:dyDescent="0.25">
      <c r="A19" s="14" t="s">
        <v>124</v>
      </c>
      <c r="B19" s="1" t="s">
        <v>50</v>
      </c>
    </row>
    <row r="20" spans="1:7" x14ac:dyDescent="0.25">
      <c r="A20" s="14" t="s">
        <v>88</v>
      </c>
      <c r="B20" s="2">
        <v>15.81</v>
      </c>
    </row>
    <row r="21" spans="1:7" x14ac:dyDescent="0.25">
      <c r="A21" s="14" t="s">
        <v>89</v>
      </c>
      <c r="B21" s="2">
        <v>0.83</v>
      </c>
    </row>
    <row r="22" spans="1:7" x14ac:dyDescent="0.25">
      <c r="A22" s="14" t="s">
        <v>1</v>
      </c>
      <c r="B22" s="2">
        <v>62.87</v>
      </c>
    </row>
    <row r="23" spans="1:7" x14ac:dyDescent="0.25">
      <c r="A23" s="14" t="s">
        <v>2</v>
      </c>
      <c r="B23" s="2">
        <v>5.0199999999999996</v>
      </c>
    </row>
    <row r="24" spans="1:7" x14ac:dyDescent="0.25">
      <c r="A24" s="14" t="s">
        <v>3</v>
      </c>
      <c r="B24" s="2">
        <v>0.38</v>
      </c>
      <c r="C24" s="15"/>
    </row>
    <row r="26" spans="1:7" x14ac:dyDescent="0.25">
      <c r="A26" s="14" t="s">
        <v>124</v>
      </c>
      <c r="B26" s="1" t="s">
        <v>10</v>
      </c>
    </row>
    <row r="27" spans="1:7" x14ac:dyDescent="0.25">
      <c r="A27" s="14" t="s">
        <v>88</v>
      </c>
      <c r="B27" s="2">
        <v>51.35</v>
      </c>
    </row>
    <row r="28" spans="1:7" x14ac:dyDescent="0.25">
      <c r="A28" s="14" t="s">
        <v>89</v>
      </c>
      <c r="B28" s="2">
        <v>51.27</v>
      </c>
    </row>
    <row r="29" spans="1:7" x14ac:dyDescent="0.25">
      <c r="A29" s="14" t="s">
        <v>1</v>
      </c>
      <c r="B29" s="2">
        <v>58.63</v>
      </c>
    </row>
    <row r="30" spans="1:7" x14ac:dyDescent="0.25">
      <c r="A30" s="14" t="s">
        <v>2</v>
      </c>
      <c r="B30" s="2">
        <v>0</v>
      </c>
    </row>
    <row r="31" spans="1:7" x14ac:dyDescent="0.25">
      <c r="A31" s="14" t="s">
        <v>3</v>
      </c>
      <c r="B31" s="2">
        <v>3.68</v>
      </c>
    </row>
    <row r="33" spans="1:2" x14ac:dyDescent="0.25">
      <c r="A33" s="14" t="s">
        <v>124</v>
      </c>
      <c r="B33" s="1" t="s">
        <v>11</v>
      </c>
    </row>
    <row r="34" spans="1:2" x14ac:dyDescent="0.25">
      <c r="A34" s="14" t="s">
        <v>88</v>
      </c>
      <c r="B34" s="2">
        <v>30.36</v>
      </c>
    </row>
    <row r="35" spans="1:2" x14ac:dyDescent="0.25">
      <c r="A35" s="14" t="s">
        <v>89</v>
      </c>
      <c r="B35" s="2">
        <v>13.88</v>
      </c>
    </row>
    <row r="36" spans="1:2" x14ac:dyDescent="0.25">
      <c r="A36" s="14" t="s">
        <v>1</v>
      </c>
      <c r="B36" s="2">
        <v>55.76</v>
      </c>
    </row>
    <row r="37" spans="1:2" x14ac:dyDescent="0.25">
      <c r="A37" s="14" t="s">
        <v>2</v>
      </c>
      <c r="B37" s="2">
        <v>0</v>
      </c>
    </row>
    <row r="38" spans="1:2" x14ac:dyDescent="0.25">
      <c r="A38" s="14" t="s">
        <v>3</v>
      </c>
      <c r="B38" s="2">
        <v>0</v>
      </c>
    </row>
    <row r="40" spans="1:2" x14ac:dyDescent="0.25">
      <c r="A40" s="14" t="s">
        <v>124</v>
      </c>
      <c r="B40" s="1" t="s">
        <v>8</v>
      </c>
    </row>
    <row r="41" spans="1:2" x14ac:dyDescent="0.25">
      <c r="A41" s="14" t="s">
        <v>88</v>
      </c>
      <c r="B41" s="2">
        <v>20.46</v>
      </c>
    </row>
    <row r="42" spans="1:2" x14ac:dyDescent="0.25">
      <c r="A42" s="14" t="s">
        <v>89</v>
      </c>
      <c r="B42" s="2">
        <v>4.78</v>
      </c>
    </row>
    <row r="43" spans="1:2" x14ac:dyDescent="0.25">
      <c r="A43" s="14" t="s">
        <v>1</v>
      </c>
      <c r="B43" s="2">
        <v>56.7</v>
      </c>
    </row>
    <row r="44" spans="1:2" x14ac:dyDescent="0.25">
      <c r="A44" s="14" t="s">
        <v>2</v>
      </c>
      <c r="B44" s="2">
        <v>17.57</v>
      </c>
    </row>
    <row r="45" spans="1:2" x14ac:dyDescent="0.25">
      <c r="A45" s="14" t="s">
        <v>3</v>
      </c>
      <c r="B45" s="2">
        <v>0.49</v>
      </c>
    </row>
    <row r="48" spans="1:2" x14ac:dyDescent="0.25">
      <c r="A48" s="14" t="s">
        <v>124</v>
      </c>
      <c r="B48" s="1" t="s">
        <v>125</v>
      </c>
    </row>
    <row r="49" spans="1:2" x14ac:dyDescent="0.25">
      <c r="A49" s="14" t="s">
        <v>88</v>
      </c>
      <c r="B49" s="16">
        <v>14.04</v>
      </c>
    </row>
    <row r="50" spans="1:2" x14ac:dyDescent="0.25">
      <c r="A50" s="14" t="s">
        <v>89</v>
      </c>
      <c r="B50" s="16">
        <v>8.64</v>
      </c>
    </row>
    <row r="51" spans="1:2" x14ac:dyDescent="0.25">
      <c r="A51" s="14" t="s">
        <v>1</v>
      </c>
      <c r="B51" s="16">
        <v>75.430000000000007</v>
      </c>
    </row>
    <row r="52" spans="1:2" x14ac:dyDescent="0.25">
      <c r="A52" s="14" t="s">
        <v>2</v>
      </c>
      <c r="B52" s="16">
        <v>1.24</v>
      </c>
    </row>
    <row r="53" spans="1:2" x14ac:dyDescent="0.25">
      <c r="A53" s="14" t="s">
        <v>3</v>
      </c>
      <c r="B53" s="16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2971-7ACF-4613-AAE2-EF3E77866183}">
  <dimension ref="A1:AB55"/>
  <sheetViews>
    <sheetView workbookViewId="0">
      <selection activeCell="B8" sqref="B8"/>
    </sheetView>
  </sheetViews>
  <sheetFormatPr baseColWidth="10" defaultRowHeight="15" x14ac:dyDescent="0.25"/>
  <cols>
    <col min="1" max="2" width="24.28515625" customWidth="1"/>
    <col min="5" max="5" width="13" customWidth="1"/>
    <col min="12" max="12" width="15.42578125" customWidth="1"/>
    <col min="13" max="13" width="16.28515625" customWidth="1"/>
    <col min="16" max="16" width="14.7109375" customWidth="1"/>
    <col min="23" max="23" width="15.140625" customWidth="1"/>
  </cols>
  <sheetData>
    <row r="1" spans="1:28" ht="45" x14ac:dyDescent="0.25">
      <c r="A1" t="s">
        <v>5</v>
      </c>
      <c r="B1" t="s">
        <v>62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4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25</v>
      </c>
      <c r="P1" s="4" t="s">
        <v>26</v>
      </c>
      <c r="Q1" s="4" t="s">
        <v>52</v>
      </c>
      <c r="R1" s="4" t="s">
        <v>53</v>
      </c>
      <c r="S1" s="4" t="s">
        <v>103</v>
      </c>
      <c r="T1" s="4" t="s">
        <v>55</v>
      </c>
      <c r="U1" s="4" t="s">
        <v>56</v>
      </c>
      <c r="V1" s="4" t="s">
        <v>65</v>
      </c>
      <c r="W1" s="4" t="s">
        <v>78</v>
      </c>
      <c r="X1" s="4" t="s">
        <v>96</v>
      </c>
      <c r="Y1" s="4" t="s">
        <v>95</v>
      </c>
      <c r="Z1" s="4" t="s">
        <v>97</v>
      </c>
      <c r="AA1" s="4" t="s">
        <v>104</v>
      </c>
      <c r="AB1" s="4" t="s">
        <v>105</v>
      </c>
    </row>
    <row r="2" spans="1:28" x14ac:dyDescent="0.25">
      <c r="A2" s="20" t="s">
        <v>7</v>
      </c>
      <c r="B2" t="s">
        <v>63</v>
      </c>
      <c r="C2" s="3">
        <v>40</v>
      </c>
      <c r="D2" s="3">
        <v>20</v>
      </c>
      <c r="E2" s="3">
        <v>6</v>
      </c>
      <c r="F2" s="3">
        <v>9</v>
      </c>
      <c r="G2" s="3">
        <v>6</v>
      </c>
      <c r="H2" s="3">
        <v>5</v>
      </c>
      <c r="I2" s="3">
        <v>3</v>
      </c>
      <c r="J2" s="3">
        <v>1</v>
      </c>
      <c r="K2" s="3">
        <v>1</v>
      </c>
      <c r="L2" s="3">
        <v>7</v>
      </c>
      <c r="M2" s="3">
        <v>2</v>
      </c>
      <c r="N2" s="3">
        <v>1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 x14ac:dyDescent="0.25">
      <c r="A3" s="20"/>
      <c r="B3" t="s">
        <v>64</v>
      </c>
      <c r="C3" s="3">
        <v>40</v>
      </c>
      <c r="D3" s="3">
        <v>8</v>
      </c>
      <c r="E3" s="3">
        <v>6</v>
      </c>
      <c r="F3" s="3">
        <v>0</v>
      </c>
      <c r="G3" s="3">
        <v>5</v>
      </c>
      <c r="H3" s="3">
        <v>5</v>
      </c>
      <c r="I3" s="3">
        <v>0</v>
      </c>
      <c r="J3" s="3">
        <v>2</v>
      </c>
      <c r="K3" s="3">
        <v>1</v>
      </c>
      <c r="L3" s="3">
        <v>2</v>
      </c>
      <c r="M3" s="3">
        <v>0</v>
      </c>
      <c r="N3" s="3">
        <v>2</v>
      </c>
      <c r="O3" s="3">
        <v>0</v>
      </c>
      <c r="P3" s="3">
        <v>0</v>
      </c>
      <c r="Q3" s="3">
        <v>3</v>
      </c>
      <c r="R3" s="3">
        <v>0</v>
      </c>
      <c r="S3" s="3">
        <v>0</v>
      </c>
      <c r="T3" s="3">
        <v>0</v>
      </c>
      <c r="U3" s="3">
        <v>0</v>
      </c>
      <c r="V3" s="3">
        <v>1</v>
      </c>
      <c r="W3" s="3">
        <v>1</v>
      </c>
      <c r="X3" s="3">
        <v>2</v>
      </c>
      <c r="Y3" s="3">
        <v>0</v>
      </c>
      <c r="Z3" s="3">
        <v>0</v>
      </c>
      <c r="AA3" s="3">
        <v>0</v>
      </c>
      <c r="AB3" s="3">
        <v>0</v>
      </c>
    </row>
    <row r="4" spans="1:28" x14ac:dyDescent="0.25">
      <c r="A4" s="20"/>
      <c r="B4" t="s">
        <v>94</v>
      </c>
      <c r="C4" s="3">
        <v>40</v>
      </c>
      <c r="D4" s="3">
        <v>7</v>
      </c>
      <c r="E4" s="3">
        <v>10</v>
      </c>
      <c r="F4" s="3">
        <v>14</v>
      </c>
      <c r="G4" s="3">
        <v>5</v>
      </c>
      <c r="H4" s="3">
        <v>5</v>
      </c>
      <c r="I4" s="3">
        <v>1</v>
      </c>
      <c r="J4" s="3">
        <v>6</v>
      </c>
      <c r="K4" s="3">
        <v>3</v>
      </c>
      <c r="L4" s="3">
        <v>7</v>
      </c>
      <c r="M4" s="3">
        <v>0</v>
      </c>
      <c r="N4" s="3">
        <v>0</v>
      </c>
      <c r="O4" s="3">
        <v>0</v>
      </c>
      <c r="P4" s="3">
        <v>10</v>
      </c>
      <c r="Q4" s="3">
        <v>2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0</v>
      </c>
      <c r="X4" s="3">
        <v>1</v>
      </c>
      <c r="Y4" s="3">
        <v>0</v>
      </c>
      <c r="Z4" s="3">
        <v>0</v>
      </c>
      <c r="AA4" s="3">
        <v>4</v>
      </c>
      <c r="AB4" s="3">
        <v>1</v>
      </c>
    </row>
    <row r="5" spans="1:28" x14ac:dyDescent="0.25">
      <c r="A5" s="20" t="s">
        <v>6</v>
      </c>
      <c r="B5" t="s">
        <v>63</v>
      </c>
      <c r="C5" s="3">
        <v>80</v>
      </c>
      <c r="D5" s="3">
        <v>4</v>
      </c>
      <c r="E5" s="3">
        <v>0</v>
      </c>
      <c r="F5" s="3">
        <v>6</v>
      </c>
      <c r="G5" s="3">
        <v>0</v>
      </c>
      <c r="H5" s="3">
        <v>1</v>
      </c>
      <c r="I5" s="3">
        <v>1</v>
      </c>
      <c r="J5" s="3">
        <v>10</v>
      </c>
      <c r="K5" s="3">
        <v>0</v>
      </c>
      <c r="L5">
        <v>2</v>
      </c>
      <c r="M5" s="3">
        <v>0</v>
      </c>
      <c r="N5" s="3">
        <v>0</v>
      </c>
      <c r="O5" s="3">
        <v>1</v>
      </c>
      <c r="P5" s="3">
        <v>15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 x14ac:dyDescent="0.25">
      <c r="A6" s="20"/>
      <c r="B6" t="s">
        <v>64</v>
      </c>
      <c r="C6" s="3">
        <v>40</v>
      </c>
      <c r="D6" s="3">
        <v>2</v>
      </c>
      <c r="E6" s="3">
        <v>0</v>
      </c>
      <c r="F6" s="3">
        <v>12</v>
      </c>
      <c r="G6" s="3">
        <v>0</v>
      </c>
      <c r="H6" s="3">
        <v>0</v>
      </c>
      <c r="I6" s="3">
        <v>0</v>
      </c>
      <c r="J6" s="3">
        <v>4</v>
      </c>
      <c r="K6" s="3">
        <v>0</v>
      </c>
      <c r="L6">
        <v>5</v>
      </c>
      <c r="M6" s="3">
        <v>0</v>
      </c>
      <c r="N6" s="3">
        <v>1</v>
      </c>
      <c r="O6" s="3">
        <v>0</v>
      </c>
      <c r="P6" s="3">
        <v>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1:28" x14ac:dyDescent="0.25">
      <c r="A7" s="20"/>
      <c r="B7" t="s">
        <v>94</v>
      </c>
      <c r="C7" s="19">
        <v>50</v>
      </c>
      <c r="D7" s="19">
        <v>5</v>
      </c>
      <c r="E7" s="3">
        <v>0</v>
      </c>
      <c r="F7" s="3">
        <v>11</v>
      </c>
      <c r="G7" s="3">
        <v>1</v>
      </c>
      <c r="H7" s="3">
        <v>1</v>
      </c>
      <c r="I7" s="3">
        <v>0</v>
      </c>
      <c r="J7" s="3">
        <v>4</v>
      </c>
      <c r="K7" s="3">
        <v>1</v>
      </c>
      <c r="L7" s="3">
        <v>2</v>
      </c>
      <c r="M7" s="3">
        <v>3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</row>
    <row r="8" spans="1:28" x14ac:dyDescent="0.25">
      <c r="A8" s="20" t="s">
        <v>10</v>
      </c>
      <c r="B8" t="s">
        <v>63</v>
      </c>
      <c r="C8" s="3">
        <v>90</v>
      </c>
      <c r="D8" s="3">
        <v>4</v>
      </c>
      <c r="E8" s="3">
        <v>0</v>
      </c>
      <c r="F8" s="3">
        <v>2</v>
      </c>
      <c r="G8" s="3">
        <v>0</v>
      </c>
      <c r="H8" s="3">
        <v>0</v>
      </c>
      <c r="I8" s="3">
        <v>6</v>
      </c>
      <c r="J8" s="3">
        <v>16</v>
      </c>
      <c r="K8" s="3">
        <v>0</v>
      </c>
      <c r="L8" s="3">
        <v>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5">
      <c r="A9" s="20"/>
      <c r="B9" t="s">
        <v>64</v>
      </c>
      <c r="C9" s="3">
        <v>90</v>
      </c>
      <c r="D9" s="3">
        <v>1</v>
      </c>
      <c r="E9" s="3">
        <v>0</v>
      </c>
      <c r="F9" s="3">
        <v>12</v>
      </c>
      <c r="G9" s="3">
        <v>0</v>
      </c>
      <c r="H9" s="3">
        <v>0</v>
      </c>
      <c r="I9" s="3">
        <v>0</v>
      </c>
      <c r="J9" s="3">
        <v>10</v>
      </c>
      <c r="K9" s="3">
        <v>0</v>
      </c>
      <c r="L9" s="3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1:28" x14ac:dyDescent="0.25">
      <c r="A10" s="20"/>
      <c r="B10" t="s">
        <v>94</v>
      </c>
      <c r="C10" s="3">
        <v>90</v>
      </c>
      <c r="D10" s="3">
        <v>4</v>
      </c>
      <c r="E10" s="3">
        <v>0</v>
      </c>
      <c r="F10" s="3">
        <v>8</v>
      </c>
      <c r="G10" s="3">
        <v>0</v>
      </c>
      <c r="H10" s="3">
        <v>0</v>
      </c>
      <c r="I10" s="3">
        <v>3</v>
      </c>
      <c r="J10" s="3">
        <v>10</v>
      </c>
      <c r="K10" s="3">
        <v>1</v>
      </c>
      <c r="L10" s="3">
        <v>4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28" x14ac:dyDescent="0.25">
      <c r="A11" s="20" t="s">
        <v>9</v>
      </c>
      <c r="B11" t="s">
        <v>63</v>
      </c>
      <c r="C11" s="3">
        <v>30</v>
      </c>
      <c r="D11" s="3">
        <v>4</v>
      </c>
      <c r="E11" s="3">
        <v>3</v>
      </c>
      <c r="F11" s="3">
        <v>10</v>
      </c>
      <c r="G11" s="3">
        <v>3</v>
      </c>
      <c r="H11" s="3">
        <v>3</v>
      </c>
      <c r="I11" s="3">
        <v>0</v>
      </c>
      <c r="J11" s="3">
        <v>3</v>
      </c>
      <c r="K11" s="3">
        <v>1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3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1:28" x14ac:dyDescent="0.25">
      <c r="A12" s="20"/>
      <c r="B12" t="s">
        <v>64</v>
      </c>
      <c r="C12" s="3">
        <v>40</v>
      </c>
      <c r="D12" s="3">
        <v>3</v>
      </c>
      <c r="E12" s="3">
        <v>1</v>
      </c>
      <c r="F12" s="3">
        <v>10</v>
      </c>
      <c r="G12" s="3">
        <v>0</v>
      </c>
      <c r="H12" s="3">
        <v>5</v>
      </c>
      <c r="I12" s="3">
        <v>2</v>
      </c>
      <c r="J12" s="3">
        <v>15</v>
      </c>
      <c r="K12" s="3">
        <v>0</v>
      </c>
      <c r="L12" s="3">
        <v>1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</row>
    <row r="13" spans="1:28" x14ac:dyDescent="0.25">
      <c r="A13" s="20"/>
      <c r="B13" t="s">
        <v>94</v>
      </c>
      <c r="C13" s="3">
        <v>50</v>
      </c>
      <c r="D13" s="3">
        <v>4</v>
      </c>
      <c r="E13" s="3">
        <v>1</v>
      </c>
      <c r="F13" s="3">
        <v>30</v>
      </c>
      <c r="G13" s="3">
        <v>4</v>
      </c>
      <c r="H13" s="3">
        <v>4</v>
      </c>
      <c r="I13" s="3">
        <v>2</v>
      </c>
      <c r="J13" s="3">
        <v>4</v>
      </c>
      <c r="K13" s="3">
        <v>1</v>
      </c>
      <c r="L13" s="3">
        <v>1</v>
      </c>
      <c r="M13" s="3">
        <v>0</v>
      </c>
      <c r="N13" s="3">
        <v>0</v>
      </c>
      <c r="O13" s="3">
        <v>1</v>
      </c>
      <c r="P13" s="3">
        <v>0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5">
      <c r="A14" s="20" t="s">
        <v>8</v>
      </c>
      <c r="B14" t="s">
        <v>63</v>
      </c>
      <c r="C14" s="3">
        <v>40</v>
      </c>
      <c r="D14" s="3">
        <v>8</v>
      </c>
      <c r="E14" s="3">
        <v>0</v>
      </c>
      <c r="F14" s="3">
        <v>16</v>
      </c>
      <c r="G14" s="3">
        <v>4</v>
      </c>
      <c r="H14" s="3">
        <v>3</v>
      </c>
      <c r="I14" s="3">
        <v>7</v>
      </c>
      <c r="J14" s="3">
        <v>8</v>
      </c>
      <c r="K14" s="3">
        <v>1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5">
      <c r="A15" s="20"/>
      <c r="B15" t="s">
        <v>64</v>
      </c>
      <c r="C15" s="3">
        <v>15</v>
      </c>
      <c r="D15" s="3">
        <v>10</v>
      </c>
      <c r="E15" s="3">
        <v>0</v>
      </c>
      <c r="F15" s="3">
        <v>22</v>
      </c>
      <c r="G15" s="3">
        <v>5</v>
      </c>
      <c r="H15" s="3">
        <v>5</v>
      </c>
      <c r="I15" s="3">
        <v>4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3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5">
      <c r="A16" s="20"/>
      <c r="B16" t="s">
        <v>94</v>
      </c>
      <c r="C16" s="3">
        <v>25</v>
      </c>
      <c r="D16" s="3">
        <v>9</v>
      </c>
      <c r="E16" s="3">
        <v>0</v>
      </c>
      <c r="F16" s="3">
        <v>13</v>
      </c>
      <c r="G16" s="3">
        <v>5</v>
      </c>
      <c r="H16" s="3">
        <v>1</v>
      </c>
      <c r="I16" s="3">
        <v>4</v>
      </c>
      <c r="J16" s="3">
        <v>10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2</v>
      </c>
      <c r="R16" s="3">
        <v>0</v>
      </c>
      <c r="S16" s="3">
        <v>0</v>
      </c>
      <c r="T16" s="3">
        <v>0</v>
      </c>
      <c r="U16" s="3">
        <v>0</v>
      </c>
      <c r="V16" s="3">
        <v>4</v>
      </c>
      <c r="W16" s="3">
        <v>0</v>
      </c>
      <c r="X16" s="3">
        <v>0</v>
      </c>
      <c r="Y16" s="3">
        <v>3</v>
      </c>
      <c r="Z16" s="3">
        <v>0</v>
      </c>
      <c r="AA16" s="3">
        <v>0</v>
      </c>
      <c r="AB16" s="3">
        <v>0</v>
      </c>
    </row>
    <row r="17" spans="1:28" x14ac:dyDescent="0.25">
      <c r="A17" s="20" t="s">
        <v>11</v>
      </c>
      <c r="B17" t="s">
        <v>63</v>
      </c>
      <c r="C17" s="3">
        <v>30</v>
      </c>
      <c r="D17" s="3">
        <v>7</v>
      </c>
      <c r="E17" s="3">
        <v>0</v>
      </c>
      <c r="F17" s="3">
        <v>0</v>
      </c>
      <c r="G17" s="3">
        <v>1</v>
      </c>
      <c r="H17" s="3">
        <v>1</v>
      </c>
      <c r="I17" s="3">
        <v>4</v>
      </c>
      <c r="J17" s="3">
        <v>30</v>
      </c>
      <c r="K17" s="3">
        <v>1</v>
      </c>
      <c r="L17" s="3">
        <v>7</v>
      </c>
      <c r="M17" s="3">
        <v>0</v>
      </c>
      <c r="N17" s="3">
        <v>0</v>
      </c>
      <c r="O17" s="3">
        <v>0</v>
      </c>
      <c r="P17" s="3">
        <v>0</v>
      </c>
      <c r="Q17" s="3">
        <v>6</v>
      </c>
      <c r="R17" s="3">
        <v>2</v>
      </c>
      <c r="S17" s="3">
        <v>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</row>
    <row r="18" spans="1:28" x14ac:dyDescent="0.25">
      <c r="A18" s="20"/>
      <c r="B18" t="s">
        <v>64</v>
      </c>
      <c r="C18" s="3">
        <v>40</v>
      </c>
      <c r="D18" s="3">
        <v>7</v>
      </c>
      <c r="E18" s="3">
        <v>0</v>
      </c>
      <c r="F18" s="3">
        <v>4</v>
      </c>
      <c r="G18" s="3">
        <v>2</v>
      </c>
      <c r="H18" s="3">
        <v>1</v>
      </c>
      <c r="I18" s="3">
        <v>5</v>
      </c>
      <c r="J18" s="3">
        <v>25</v>
      </c>
      <c r="K18" s="3">
        <v>1</v>
      </c>
      <c r="L18" s="3">
        <v>7</v>
      </c>
      <c r="M18" s="3">
        <v>0</v>
      </c>
      <c r="N18" s="3">
        <v>0</v>
      </c>
      <c r="O18" s="3">
        <v>1</v>
      </c>
      <c r="P18" s="3">
        <v>0</v>
      </c>
      <c r="Q18" s="3">
        <v>3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1:28" x14ac:dyDescent="0.25">
      <c r="A19" s="20"/>
      <c r="B19" t="s">
        <v>94</v>
      </c>
      <c r="C19" s="3">
        <v>50</v>
      </c>
      <c r="D19" s="3">
        <v>4</v>
      </c>
      <c r="E19" s="3">
        <v>0</v>
      </c>
      <c r="F19" s="3">
        <v>15</v>
      </c>
      <c r="G19" s="3">
        <v>2</v>
      </c>
      <c r="H19" s="3">
        <v>1</v>
      </c>
      <c r="I19" s="3">
        <v>5</v>
      </c>
      <c r="J19" s="3">
        <v>20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2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1</v>
      </c>
      <c r="AA19" s="3">
        <v>0</v>
      </c>
      <c r="AB19" s="3">
        <v>0</v>
      </c>
    </row>
    <row r="20" spans="1:28" x14ac:dyDescent="0.25">
      <c r="C20" s="3"/>
      <c r="D20" s="3"/>
    </row>
    <row r="21" spans="1:28" x14ac:dyDescent="0.25">
      <c r="C21" s="3"/>
    </row>
    <row r="22" spans="1:28" x14ac:dyDescent="0.25">
      <c r="C22" s="3"/>
    </row>
    <row r="23" spans="1:28" x14ac:dyDescent="0.25">
      <c r="C23" s="3"/>
    </row>
    <row r="24" spans="1:28" x14ac:dyDescent="0.25">
      <c r="C24" s="3"/>
    </row>
    <row r="25" spans="1:28" ht="45" x14ac:dyDescent="0.25">
      <c r="A25" t="s">
        <v>5</v>
      </c>
      <c r="B25" t="s">
        <v>71</v>
      </c>
      <c r="C25" s="4" t="s">
        <v>12</v>
      </c>
      <c r="D25" s="4" t="s">
        <v>13</v>
      </c>
      <c r="E25" s="4" t="s">
        <v>14</v>
      </c>
      <c r="F25" s="4" t="s">
        <v>15</v>
      </c>
      <c r="G25" s="4" t="s">
        <v>16</v>
      </c>
      <c r="H25" s="4" t="s">
        <v>17</v>
      </c>
      <c r="I25" s="4" t="s">
        <v>4</v>
      </c>
      <c r="J25" s="4" t="s">
        <v>18</v>
      </c>
      <c r="K25" s="4" t="s">
        <v>19</v>
      </c>
      <c r="L25" s="4" t="s">
        <v>20</v>
      </c>
      <c r="M25" s="4" t="s">
        <v>21</v>
      </c>
      <c r="N25" s="4" t="s">
        <v>22</v>
      </c>
      <c r="O25" s="4" t="s">
        <v>25</v>
      </c>
      <c r="P25" s="4" t="s">
        <v>26</v>
      </c>
      <c r="Q25" s="4" t="s">
        <v>52</v>
      </c>
      <c r="R25" s="4" t="s">
        <v>53</v>
      </c>
      <c r="S25" s="4" t="s">
        <v>54</v>
      </c>
      <c r="T25" s="4" t="s">
        <v>55</v>
      </c>
      <c r="U25" s="4" t="s">
        <v>56</v>
      </c>
      <c r="V25" s="4" t="s">
        <v>65</v>
      </c>
      <c r="W25" s="4" t="s">
        <v>78</v>
      </c>
      <c r="X25" s="4" t="s">
        <v>96</v>
      </c>
      <c r="Y25" s="4" t="s">
        <v>95</v>
      </c>
      <c r="Z25" s="4" t="s">
        <v>97</v>
      </c>
      <c r="AA25" s="4" t="s">
        <v>104</v>
      </c>
      <c r="AB25" s="4" t="s">
        <v>105</v>
      </c>
    </row>
    <row r="26" spans="1:28" x14ac:dyDescent="0.25">
      <c r="A26" t="s">
        <v>7</v>
      </c>
      <c r="B26" t="s">
        <v>71</v>
      </c>
      <c r="C26" s="3">
        <f>SUM(C2:C4)</f>
        <v>120</v>
      </c>
      <c r="D26" s="3">
        <f>SUM(D2:D4)</f>
        <v>35</v>
      </c>
      <c r="E26" s="3">
        <f>SUM(E2:E4)</f>
        <v>22</v>
      </c>
      <c r="F26" s="3">
        <f>SUM(F2:F4)</f>
        <v>23</v>
      </c>
      <c r="G26" s="3">
        <f>SUM(G2:G4)</f>
        <v>16</v>
      </c>
      <c r="H26" s="3">
        <f t="shared" ref="H26:V26" si="0">SUM(H2:H4)</f>
        <v>15</v>
      </c>
      <c r="I26" s="3">
        <f t="shared" si="0"/>
        <v>4</v>
      </c>
      <c r="J26" s="3">
        <f t="shared" si="0"/>
        <v>9</v>
      </c>
      <c r="K26" s="3">
        <f t="shared" si="0"/>
        <v>5</v>
      </c>
      <c r="L26" s="3">
        <f t="shared" si="0"/>
        <v>16</v>
      </c>
      <c r="M26" s="3">
        <f t="shared" si="0"/>
        <v>2</v>
      </c>
      <c r="N26" s="3">
        <f t="shared" si="0"/>
        <v>3</v>
      </c>
      <c r="O26" s="3">
        <f t="shared" si="0"/>
        <v>1</v>
      </c>
      <c r="P26" s="3">
        <f t="shared" si="0"/>
        <v>10</v>
      </c>
      <c r="Q26" s="3">
        <f t="shared" si="0"/>
        <v>5</v>
      </c>
      <c r="R26" s="3">
        <f t="shared" si="0"/>
        <v>0</v>
      </c>
      <c r="S26" s="3">
        <f t="shared" si="0"/>
        <v>0</v>
      </c>
      <c r="T26" s="3">
        <f t="shared" si="0"/>
        <v>0</v>
      </c>
      <c r="U26" s="3">
        <f t="shared" si="0"/>
        <v>0</v>
      </c>
      <c r="V26" s="3">
        <f t="shared" si="0"/>
        <v>2</v>
      </c>
      <c r="W26" s="3">
        <v>1</v>
      </c>
      <c r="X26" s="3">
        <v>3</v>
      </c>
      <c r="Y26">
        <v>0</v>
      </c>
      <c r="Z26" s="3">
        <v>0</v>
      </c>
      <c r="AA26" s="3">
        <v>4</v>
      </c>
      <c r="AB26" s="3">
        <v>1</v>
      </c>
    </row>
    <row r="27" spans="1:28" x14ac:dyDescent="0.25">
      <c r="A27" t="s">
        <v>6</v>
      </c>
      <c r="B27" t="s">
        <v>71</v>
      </c>
      <c r="C27" s="3">
        <f>SUM(C5:C7)</f>
        <v>170</v>
      </c>
      <c r="D27" s="3">
        <f>SUM(D5:D7)</f>
        <v>11</v>
      </c>
      <c r="E27" s="3">
        <f>SUM(E5:E7)</f>
        <v>0</v>
      </c>
      <c r="F27" s="3">
        <f>SUM(F5:F7)</f>
        <v>29</v>
      </c>
      <c r="G27" s="3">
        <f>SUM(G5:G7)</f>
        <v>1</v>
      </c>
      <c r="H27" s="3">
        <f t="shared" ref="H27:V27" si="1">SUM(H5:H7)</f>
        <v>2</v>
      </c>
      <c r="I27" s="3">
        <f t="shared" si="1"/>
        <v>1</v>
      </c>
      <c r="J27" s="3">
        <f t="shared" si="1"/>
        <v>18</v>
      </c>
      <c r="K27" s="3">
        <f t="shared" si="1"/>
        <v>1</v>
      </c>
      <c r="L27" s="3">
        <f t="shared" si="1"/>
        <v>9</v>
      </c>
      <c r="M27" s="3">
        <f t="shared" si="1"/>
        <v>3</v>
      </c>
      <c r="N27" s="3">
        <f t="shared" si="1"/>
        <v>1</v>
      </c>
      <c r="O27" s="3">
        <f t="shared" si="1"/>
        <v>1</v>
      </c>
      <c r="P27" s="3">
        <f t="shared" si="1"/>
        <v>20</v>
      </c>
      <c r="Q27" s="3">
        <f t="shared" si="1"/>
        <v>0</v>
      </c>
      <c r="R27" s="3">
        <f t="shared" si="1"/>
        <v>0</v>
      </c>
      <c r="S27" s="3">
        <f t="shared" si="1"/>
        <v>0</v>
      </c>
      <c r="T27" s="3">
        <f t="shared" si="1"/>
        <v>0</v>
      </c>
      <c r="U27" s="3">
        <f t="shared" si="1"/>
        <v>0</v>
      </c>
      <c r="V27" s="3">
        <f t="shared" si="1"/>
        <v>0</v>
      </c>
      <c r="W27" s="3">
        <v>0</v>
      </c>
      <c r="X27" s="3">
        <v>0</v>
      </c>
      <c r="Y27">
        <v>0</v>
      </c>
      <c r="Z27" s="3">
        <v>0</v>
      </c>
      <c r="AA27" s="3">
        <v>0</v>
      </c>
      <c r="AB27" s="3">
        <v>0</v>
      </c>
    </row>
    <row r="28" spans="1:28" x14ac:dyDescent="0.25">
      <c r="A28" t="s">
        <v>10</v>
      </c>
      <c r="B28" t="s">
        <v>71</v>
      </c>
      <c r="C28" s="3">
        <f>SUM(C8:C10)</f>
        <v>270</v>
      </c>
      <c r="D28" s="3">
        <f>SUM(D8:D10)</f>
        <v>9</v>
      </c>
      <c r="E28" s="3">
        <f>SUM(E8:E10)</f>
        <v>0</v>
      </c>
      <c r="F28" s="3">
        <f>SUM(F8:F10)</f>
        <v>22</v>
      </c>
      <c r="G28" s="3">
        <f>SUM(G8:G10)</f>
        <v>0</v>
      </c>
      <c r="H28" s="3">
        <f t="shared" ref="H28:V28" si="2">SUM(H8:H10)</f>
        <v>0</v>
      </c>
      <c r="I28" s="3">
        <f t="shared" si="2"/>
        <v>9</v>
      </c>
      <c r="J28" s="3">
        <f t="shared" si="2"/>
        <v>36</v>
      </c>
      <c r="K28" s="3">
        <f t="shared" si="2"/>
        <v>1</v>
      </c>
      <c r="L28" s="3">
        <f t="shared" si="2"/>
        <v>13</v>
      </c>
      <c r="M28" s="3">
        <f t="shared" si="2"/>
        <v>0</v>
      </c>
      <c r="N28" s="3">
        <f t="shared" si="2"/>
        <v>0</v>
      </c>
      <c r="O28" s="3">
        <f t="shared" si="2"/>
        <v>1</v>
      </c>
      <c r="P28" s="3">
        <f t="shared" si="2"/>
        <v>0</v>
      </c>
      <c r="Q28" s="3">
        <f t="shared" si="2"/>
        <v>0</v>
      </c>
      <c r="R28" s="3">
        <f t="shared" si="2"/>
        <v>0</v>
      </c>
      <c r="S28" s="3">
        <f t="shared" si="2"/>
        <v>0</v>
      </c>
      <c r="T28" s="3">
        <f t="shared" si="2"/>
        <v>0</v>
      </c>
      <c r="U28" s="3">
        <f t="shared" si="2"/>
        <v>0</v>
      </c>
      <c r="V28" s="3">
        <f t="shared" si="2"/>
        <v>0</v>
      </c>
      <c r="W28" s="3">
        <v>0</v>
      </c>
      <c r="X28" s="3">
        <v>0</v>
      </c>
      <c r="Y28">
        <v>0</v>
      </c>
      <c r="Z28" s="3">
        <v>0</v>
      </c>
      <c r="AA28" s="3">
        <v>0</v>
      </c>
      <c r="AB28" s="3">
        <v>0</v>
      </c>
    </row>
    <row r="29" spans="1:28" x14ac:dyDescent="0.25">
      <c r="A29" t="s">
        <v>9</v>
      </c>
      <c r="B29" t="s">
        <v>71</v>
      </c>
      <c r="C29" s="3">
        <f>SUM(C11:C13)</f>
        <v>120</v>
      </c>
      <c r="D29" s="3">
        <f>SUM(D11:D13)</f>
        <v>11</v>
      </c>
      <c r="E29" s="3">
        <f>SUM(E11:E13)</f>
        <v>5</v>
      </c>
      <c r="F29" s="3">
        <f>SUM(F11:F13)</f>
        <v>50</v>
      </c>
      <c r="G29" s="3">
        <f>SUM(G11:G13)</f>
        <v>7</v>
      </c>
      <c r="H29" s="3">
        <f t="shared" ref="H29:V29" si="3">SUM(H11:H13)</f>
        <v>12</v>
      </c>
      <c r="I29" s="3">
        <f t="shared" si="3"/>
        <v>4</v>
      </c>
      <c r="J29" s="3">
        <f t="shared" si="3"/>
        <v>22</v>
      </c>
      <c r="K29" s="3">
        <f t="shared" si="3"/>
        <v>2</v>
      </c>
      <c r="L29" s="3">
        <f t="shared" si="3"/>
        <v>3</v>
      </c>
      <c r="M29" s="3">
        <f t="shared" si="3"/>
        <v>0</v>
      </c>
      <c r="N29" s="3">
        <f t="shared" si="3"/>
        <v>0</v>
      </c>
      <c r="O29" s="3">
        <f t="shared" si="3"/>
        <v>3</v>
      </c>
      <c r="P29" s="3">
        <f t="shared" si="3"/>
        <v>0</v>
      </c>
      <c r="Q29" s="3">
        <f t="shared" si="3"/>
        <v>4</v>
      </c>
      <c r="R29" s="3">
        <f t="shared" si="3"/>
        <v>0</v>
      </c>
      <c r="S29" s="3">
        <f t="shared" si="3"/>
        <v>0</v>
      </c>
      <c r="T29" s="3">
        <f t="shared" si="3"/>
        <v>0</v>
      </c>
      <c r="U29" s="3">
        <f t="shared" si="3"/>
        <v>0</v>
      </c>
      <c r="V29" s="3">
        <f t="shared" si="3"/>
        <v>0</v>
      </c>
      <c r="W29" s="3">
        <v>0</v>
      </c>
      <c r="X29" s="3">
        <v>0</v>
      </c>
      <c r="Y29">
        <v>0</v>
      </c>
      <c r="Z29" s="3">
        <v>0</v>
      </c>
      <c r="AA29" s="3">
        <v>0</v>
      </c>
      <c r="AB29" s="3">
        <v>0</v>
      </c>
    </row>
    <row r="30" spans="1:28" x14ac:dyDescent="0.25">
      <c r="A30" t="s">
        <v>8</v>
      </c>
      <c r="B30" t="s">
        <v>71</v>
      </c>
      <c r="C30" s="3">
        <f>SUM(C14:C16)</f>
        <v>80</v>
      </c>
      <c r="D30" s="3">
        <f>SUM(D14:D16)</f>
        <v>27</v>
      </c>
      <c r="E30" s="3">
        <f>SUM(E14:E16)</f>
        <v>0</v>
      </c>
      <c r="F30" s="3">
        <f>SUM(F14:F16)</f>
        <v>51</v>
      </c>
      <c r="G30" s="3">
        <f>SUM(G14:G16)</f>
        <v>14</v>
      </c>
      <c r="H30" s="3">
        <f t="shared" ref="H30:V30" si="4">SUM(H14:H16)</f>
        <v>9</v>
      </c>
      <c r="I30" s="3">
        <f t="shared" si="4"/>
        <v>15</v>
      </c>
      <c r="J30" s="3">
        <f t="shared" si="4"/>
        <v>25</v>
      </c>
      <c r="K30" s="3">
        <f t="shared" si="4"/>
        <v>3</v>
      </c>
      <c r="L30" s="3">
        <f t="shared" si="4"/>
        <v>1</v>
      </c>
      <c r="M30" s="3">
        <f t="shared" si="4"/>
        <v>0</v>
      </c>
      <c r="N30" s="3">
        <f t="shared" si="4"/>
        <v>0</v>
      </c>
      <c r="O30" s="3">
        <f t="shared" si="4"/>
        <v>0</v>
      </c>
      <c r="P30" s="3">
        <f t="shared" si="4"/>
        <v>3</v>
      </c>
      <c r="Q30" s="3">
        <f t="shared" si="4"/>
        <v>2</v>
      </c>
      <c r="R30" s="3">
        <f t="shared" si="4"/>
        <v>0</v>
      </c>
      <c r="S30" s="3">
        <f t="shared" si="4"/>
        <v>0</v>
      </c>
      <c r="T30" s="3">
        <f t="shared" si="4"/>
        <v>1</v>
      </c>
      <c r="U30" s="3">
        <f t="shared" si="4"/>
        <v>1</v>
      </c>
      <c r="V30" s="3">
        <f t="shared" si="4"/>
        <v>5</v>
      </c>
      <c r="W30" s="3">
        <v>0</v>
      </c>
      <c r="X30" s="3">
        <v>0</v>
      </c>
      <c r="Y30">
        <v>3</v>
      </c>
      <c r="Z30" s="3">
        <v>0</v>
      </c>
      <c r="AA30" s="3">
        <v>0</v>
      </c>
      <c r="AB30" s="3">
        <v>0</v>
      </c>
    </row>
    <row r="31" spans="1:28" x14ac:dyDescent="0.25">
      <c r="A31" t="s">
        <v>11</v>
      </c>
      <c r="B31" t="s">
        <v>71</v>
      </c>
      <c r="C31" s="3">
        <f>SUM(C17:C19)</f>
        <v>120</v>
      </c>
      <c r="D31" s="3">
        <f>SUM(D17:D19)</f>
        <v>18</v>
      </c>
      <c r="E31" s="3">
        <f>SUM(E17:E19)</f>
        <v>0</v>
      </c>
      <c r="F31" s="3">
        <f>SUM(F17:F19)</f>
        <v>19</v>
      </c>
      <c r="G31" s="3">
        <f>SUM(G17:G19)</f>
        <v>5</v>
      </c>
      <c r="H31" s="3">
        <f t="shared" ref="H31:V31" si="5">SUM(H17:H19)</f>
        <v>3</v>
      </c>
      <c r="I31" s="3">
        <f t="shared" si="5"/>
        <v>14</v>
      </c>
      <c r="J31" s="3">
        <f t="shared" si="5"/>
        <v>75</v>
      </c>
      <c r="K31" s="3">
        <f t="shared" si="5"/>
        <v>2</v>
      </c>
      <c r="L31" s="3">
        <f t="shared" si="5"/>
        <v>14</v>
      </c>
      <c r="M31" s="3">
        <f t="shared" si="5"/>
        <v>0</v>
      </c>
      <c r="N31" s="3">
        <f t="shared" si="5"/>
        <v>0</v>
      </c>
      <c r="O31" s="3">
        <f t="shared" si="5"/>
        <v>1</v>
      </c>
      <c r="P31" s="3">
        <f t="shared" si="5"/>
        <v>0</v>
      </c>
      <c r="Q31" s="3">
        <f t="shared" si="5"/>
        <v>11</v>
      </c>
      <c r="R31" s="3">
        <f t="shared" si="5"/>
        <v>2</v>
      </c>
      <c r="S31" s="3">
        <f t="shared" si="5"/>
        <v>3</v>
      </c>
      <c r="T31" s="3">
        <f t="shared" si="5"/>
        <v>0</v>
      </c>
      <c r="U31" s="3">
        <f t="shared" si="5"/>
        <v>0</v>
      </c>
      <c r="V31" s="3">
        <f t="shared" si="5"/>
        <v>0</v>
      </c>
      <c r="W31" s="3">
        <v>0</v>
      </c>
      <c r="X31" s="3">
        <v>0</v>
      </c>
      <c r="Y31">
        <v>0</v>
      </c>
      <c r="Z31">
        <v>1</v>
      </c>
      <c r="AA31" s="3">
        <v>0</v>
      </c>
      <c r="AB31" s="3">
        <v>0</v>
      </c>
    </row>
    <row r="35" spans="1:7" x14ac:dyDescent="0.25">
      <c r="A35" t="s">
        <v>72</v>
      </c>
      <c r="B35" t="s">
        <v>7</v>
      </c>
      <c r="C35" s="5" t="s">
        <v>50</v>
      </c>
      <c r="D35" t="s">
        <v>10</v>
      </c>
      <c r="E35" t="s">
        <v>9</v>
      </c>
      <c r="F35" t="s">
        <v>8</v>
      </c>
      <c r="G35" t="s">
        <v>11</v>
      </c>
    </row>
    <row r="36" spans="1:7" x14ac:dyDescent="0.25">
      <c r="A36" s="4" t="s">
        <v>12</v>
      </c>
      <c r="B36" s="3"/>
      <c r="C36" s="3"/>
      <c r="D36" s="3"/>
      <c r="E36" s="3"/>
      <c r="F36" s="3"/>
      <c r="G36" s="3"/>
    </row>
    <row r="37" spans="1:7" x14ac:dyDescent="0.25">
      <c r="A37" s="4" t="s">
        <v>13</v>
      </c>
      <c r="B37" s="3"/>
      <c r="C37" s="3"/>
      <c r="D37" s="3"/>
      <c r="E37" s="3"/>
      <c r="F37" s="3"/>
      <c r="G37" s="3"/>
    </row>
    <row r="38" spans="1:7" x14ac:dyDescent="0.25">
      <c r="A38" s="4" t="s">
        <v>14</v>
      </c>
      <c r="B38" s="3"/>
      <c r="C38" s="3"/>
      <c r="D38" s="3"/>
      <c r="E38" s="3"/>
      <c r="F38" s="3"/>
      <c r="G38" s="3"/>
    </row>
    <row r="39" spans="1:7" x14ac:dyDescent="0.25">
      <c r="A39" s="4" t="s">
        <v>15</v>
      </c>
      <c r="B39" s="3"/>
      <c r="C39" s="3"/>
      <c r="D39" s="3"/>
      <c r="E39" s="3"/>
      <c r="F39" s="3"/>
      <c r="G39" s="3"/>
    </row>
    <row r="40" spans="1:7" x14ac:dyDescent="0.25">
      <c r="A40" s="4" t="s">
        <v>16</v>
      </c>
      <c r="B40" s="3"/>
      <c r="C40" s="3"/>
      <c r="D40" s="3"/>
      <c r="E40" s="3"/>
      <c r="F40" s="3"/>
      <c r="G40" s="3"/>
    </row>
    <row r="41" spans="1:7" x14ac:dyDescent="0.25">
      <c r="A41" s="4" t="s">
        <v>17</v>
      </c>
      <c r="B41" s="3"/>
      <c r="C41" s="3"/>
      <c r="D41" s="3"/>
      <c r="E41" s="3"/>
      <c r="F41" s="3"/>
      <c r="G41" s="3"/>
    </row>
    <row r="42" spans="1:7" x14ac:dyDescent="0.25">
      <c r="A42" s="4" t="s">
        <v>4</v>
      </c>
      <c r="B42" s="3"/>
      <c r="C42" s="3"/>
      <c r="D42" s="3"/>
      <c r="E42" s="3"/>
      <c r="F42" s="3"/>
      <c r="G42" s="3"/>
    </row>
    <row r="43" spans="1:7" x14ac:dyDescent="0.25">
      <c r="A43" s="4" t="s">
        <v>18</v>
      </c>
      <c r="B43" s="3"/>
      <c r="C43" s="3"/>
      <c r="D43" s="3"/>
      <c r="E43" s="3"/>
      <c r="F43" s="3"/>
      <c r="G43" s="3"/>
    </row>
    <row r="44" spans="1:7" x14ac:dyDescent="0.25">
      <c r="A44" s="4" t="s">
        <v>19</v>
      </c>
      <c r="B44" s="3"/>
      <c r="C44" s="3"/>
      <c r="D44" s="3"/>
      <c r="E44" s="3"/>
      <c r="F44" s="3"/>
      <c r="G44" s="3"/>
    </row>
    <row r="45" spans="1:7" x14ac:dyDescent="0.25">
      <c r="A45" s="4" t="s">
        <v>20</v>
      </c>
      <c r="B45" s="3"/>
      <c r="C45" s="3"/>
      <c r="D45" s="3"/>
      <c r="E45" s="3"/>
      <c r="F45" s="3"/>
      <c r="G45" s="3"/>
    </row>
    <row r="46" spans="1:7" x14ac:dyDescent="0.25">
      <c r="A46" s="4" t="s">
        <v>21</v>
      </c>
      <c r="B46" s="3"/>
      <c r="C46" s="3"/>
      <c r="D46" s="3"/>
      <c r="E46" s="3"/>
      <c r="F46" s="3"/>
      <c r="G46" s="3"/>
    </row>
    <row r="47" spans="1:7" x14ac:dyDescent="0.25">
      <c r="A47" s="4" t="s">
        <v>22</v>
      </c>
      <c r="B47" s="3"/>
      <c r="C47" s="3"/>
      <c r="D47" s="3"/>
      <c r="E47" s="3"/>
      <c r="F47" s="3"/>
      <c r="G47" s="3"/>
    </row>
    <row r="48" spans="1:7" x14ac:dyDescent="0.25">
      <c r="A48" s="4" t="s">
        <v>25</v>
      </c>
      <c r="B48" s="3"/>
      <c r="C48" s="3"/>
      <c r="D48" s="3"/>
      <c r="E48" s="3"/>
      <c r="F48" s="3"/>
      <c r="G48" s="3"/>
    </row>
    <row r="49" spans="1:7" x14ac:dyDescent="0.25">
      <c r="A49" s="4" t="s">
        <v>26</v>
      </c>
      <c r="B49" s="3"/>
      <c r="C49" s="3"/>
      <c r="D49" s="3"/>
      <c r="E49" s="3"/>
      <c r="F49" s="3"/>
      <c r="G49" s="3"/>
    </row>
    <row r="50" spans="1:7" x14ac:dyDescent="0.25">
      <c r="A50" s="4" t="s">
        <v>52</v>
      </c>
      <c r="B50" s="3"/>
      <c r="C50" s="3"/>
      <c r="D50" s="3"/>
      <c r="E50" s="3"/>
      <c r="F50" s="3"/>
      <c r="G50" s="3"/>
    </row>
    <row r="51" spans="1:7" x14ac:dyDescent="0.25">
      <c r="A51" s="4" t="s">
        <v>53</v>
      </c>
      <c r="B51" s="3"/>
      <c r="C51" s="3"/>
      <c r="D51" s="3"/>
      <c r="E51" s="3"/>
      <c r="F51" s="3"/>
      <c r="G51" s="3"/>
    </row>
    <row r="52" spans="1:7" x14ac:dyDescent="0.25">
      <c r="A52" s="4" t="s">
        <v>54</v>
      </c>
      <c r="B52" s="3"/>
      <c r="C52" s="3"/>
      <c r="D52" s="3"/>
      <c r="E52" s="3"/>
      <c r="F52" s="3"/>
      <c r="G52" s="3"/>
    </row>
    <row r="53" spans="1:7" x14ac:dyDescent="0.25">
      <c r="A53" s="4" t="s">
        <v>55</v>
      </c>
      <c r="B53" s="3"/>
      <c r="C53" s="3"/>
      <c r="D53" s="3"/>
      <c r="E53" s="3"/>
      <c r="F53" s="3"/>
      <c r="G53" s="3"/>
    </row>
    <row r="54" spans="1:7" x14ac:dyDescent="0.25">
      <c r="A54" s="4" t="s">
        <v>56</v>
      </c>
      <c r="B54" s="3"/>
      <c r="C54" s="3"/>
      <c r="D54" s="3"/>
      <c r="E54" s="3"/>
      <c r="F54" s="3"/>
      <c r="G54" s="3"/>
    </row>
    <row r="55" spans="1:7" x14ac:dyDescent="0.25">
      <c r="A55" s="4" t="s">
        <v>65</v>
      </c>
      <c r="B55" s="3"/>
      <c r="C55" s="3"/>
      <c r="D55" s="3"/>
      <c r="E55" s="3"/>
      <c r="F55" s="3"/>
      <c r="G55" s="3"/>
    </row>
  </sheetData>
  <mergeCells count="6">
    <mergeCell ref="A2:A4"/>
    <mergeCell ref="A5:A7"/>
    <mergeCell ref="A8:A10"/>
    <mergeCell ref="A11:A13"/>
    <mergeCell ref="A17:A19"/>
    <mergeCell ref="A14:A1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6AA0-522D-44E6-AA0E-C18103B86A6C}">
  <dimension ref="A1:AM52"/>
  <sheetViews>
    <sheetView topLeftCell="Z1" workbookViewId="0">
      <selection activeCell="AL6" sqref="AL6"/>
    </sheetView>
  </sheetViews>
  <sheetFormatPr baseColWidth="10" defaultRowHeight="15" x14ac:dyDescent="0.25"/>
  <cols>
    <col min="1" max="1" width="24.140625" customWidth="1"/>
    <col min="2" max="2" width="15.42578125" customWidth="1"/>
    <col min="4" max="4" width="14.7109375" customWidth="1"/>
    <col min="6" max="7" width="14.42578125" customWidth="1"/>
    <col min="8" max="8" width="16.140625" customWidth="1"/>
    <col min="9" max="9" width="16.7109375" customWidth="1"/>
    <col min="21" max="21" width="14.5703125" customWidth="1"/>
    <col min="23" max="23" width="13.85546875" customWidth="1"/>
    <col min="24" max="24" width="13.5703125" customWidth="1"/>
    <col min="29" max="29" width="13.28515625" customWidth="1"/>
    <col min="30" max="30" width="15" customWidth="1"/>
    <col min="34" max="34" width="14.7109375" customWidth="1"/>
    <col min="37" max="37" width="17.5703125" customWidth="1"/>
  </cols>
  <sheetData>
    <row r="1" spans="1:39" ht="60" x14ac:dyDescent="0.25">
      <c r="A1" s="3" t="s">
        <v>5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36</v>
      </c>
      <c r="K1" s="4" t="s">
        <v>35</v>
      </c>
      <c r="L1" s="4" t="s">
        <v>37</v>
      </c>
      <c r="M1" s="4" t="s">
        <v>74</v>
      </c>
      <c r="N1" s="4" t="s">
        <v>76</v>
      </c>
      <c r="O1" s="4" t="s">
        <v>77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  <c r="V1" s="4" t="s">
        <v>44</v>
      </c>
      <c r="W1" s="4" t="s">
        <v>45</v>
      </c>
      <c r="X1" s="4" t="s">
        <v>46</v>
      </c>
      <c r="Y1" s="4" t="s">
        <v>47</v>
      </c>
      <c r="Z1" s="4" t="s">
        <v>48</v>
      </c>
      <c r="AA1" s="4" t="s">
        <v>51</v>
      </c>
      <c r="AB1" s="4" t="s">
        <v>58</v>
      </c>
      <c r="AC1" s="4" t="s">
        <v>59</v>
      </c>
      <c r="AD1" s="4" t="s">
        <v>60</v>
      </c>
      <c r="AE1" s="4" t="s">
        <v>61</v>
      </c>
      <c r="AF1" s="4" t="s">
        <v>66</v>
      </c>
      <c r="AG1" s="4" t="s">
        <v>67</v>
      </c>
      <c r="AH1" s="4" t="s">
        <v>68</v>
      </c>
      <c r="AI1" s="4" t="s">
        <v>69</v>
      </c>
      <c r="AJ1" s="4" t="s">
        <v>70</v>
      </c>
      <c r="AK1" s="4" t="s">
        <v>73</v>
      </c>
      <c r="AL1" s="4" t="s">
        <v>75</v>
      </c>
      <c r="AM1" s="4" t="s">
        <v>79</v>
      </c>
    </row>
    <row r="2" spans="1:39" x14ac:dyDescent="0.25">
      <c r="A2" t="s">
        <v>23</v>
      </c>
      <c r="B2">
        <v>0</v>
      </c>
      <c r="C2">
        <v>0</v>
      </c>
      <c r="D2">
        <v>1</v>
      </c>
      <c r="E2">
        <v>10</v>
      </c>
      <c r="F2">
        <v>17</v>
      </c>
      <c r="G2">
        <v>3</v>
      </c>
      <c r="H2">
        <v>2</v>
      </c>
      <c r="I2">
        <v>1</v>
      </c>
      <c r="J2" s="3">
        <v>5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 t="s">
        <v>50</v>
      </c>
      <c r="B3" s="3">
        <v>6</v>
      </c>
      <c r="C3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3">
        <v>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1</v>
      </c>
      <c r="R4">
        <v>1</v>
      </c>
      <c r="S4" s="3">
        <v>5</v>
      </c>
      <c r="T4" s="3">
        <v>5</v>
      </c>
      <c r="U4">
        <v>13</v>
      </c>
      <c r="V4">
        <v>1</v>
      </c>
      <c r="W4">
        <v>1</v>
      </c>
      <c r="X4">
        <v>1</v>
      </c>
      <c r="Y4">
        <v>2</v>
      </c>
      <c r="Z4">
        <v>1</v>
      </c>
      <c r="AA4" s="3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</v>
      </c>
      <c r="AM4">
        <v>1</v>
      </c>
    </row>
    <row r="5" spans="1:39" x14ac:dyDescent="0.25">
      <c r="A5" t="s">
        <v>49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s="3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 s="3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0</v>
      </c>
      <c r="Z6">
        <v>0</v>
      </c>
      <c r="AA6">
        <v>0</v>
      </c>
      <c r="AB6">
        <v>2</v>
      </c>
      <c r="AC6">
        <v>4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</row>
    <row r="7" spans="1:39" x14ac:dyDescent="0.25">
      <c r="A7" t="s">
        <v>8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7</v>
      </c>
      <c r="AG7">
        <v>1</v>
      </c>
      <c r="AH7">
        <v>1</v>
      </c>
      <c r="AI7">
        <v>1</v>
      </c>
      <c r="AJ7">
        <v>1</v>
      </c>
      <c r="AK7">
        <v>0</v>
      </c>
      <c r="AL7">
        <v>0</v>
      </c>
      <c r="AM7">
        <v>0</v>
      </c>
    </row>
    <row r="9" spans="1:39" x14ac:dyDescent="0.25">
      <c r="A9" s="3"/>
    </row>
    <row r="10" spans="1:39" x14ac:dyDescent="0.25">
      <c r="A10" s="4"/>
      <c r="C10" s="3"/>
    </row>
    <row r="11" spans="1:39" x14ac:dyDescent="0.25">
      <c r="A11" s="4"/>
    </row>
    <row r="12" spans="1:39" x14ac:dyDescent="0.25">
      <c r="A12" s="4"/>
    </row>
    <row r="13" spans="1:39" x14ac:dyDescent="0.25">
      <c r="A13" s="4"/>
    </row>
    <row r="14" spans="1:39" x14ac:dyDescent="0.25">
      <c r="A14" s="3"/>
    </row>
    <row r="15" spans="1:39" x14ac:dyDescent="0.25">
      <c r="A15" s="4"/>
      <c r="C15" s="3"/>
    </row>
    <row r="16" spans="1:39" x14ac:dyDescent="0.25">
      <c r="A16" s="4"/>
    </row>
    <row r="17" spans="1:6" x14ac:dyDescent="0.25">
      <c r="A17" s="4"/>
    </row>
    <row r="18" spans="1:6" x14ac:dyDescent="0.25">
      <c r="A18" s="4"/>
    </row>
    <row r="19" spans="1:6" x14ac:dyDescent="0.25">
      <c r="A19" s="4"/>
    </row>
    <row r="20" spans="1:6" x14ac:dyDescent="0.25">
      <c r="A20" s="4"/>
    </row>
    <row r="21" spans="1:6" x14ac:dyDescent="0.25">
      <c r="A21" s="4"/>
    </row>
    <row r="22" spans="1:6" x14ac:dyDescent="0.25">
      <c r="A22" s="4"/>
    </row>
    <row r="23" spans="1:6" x14ac:dyDescent="0.25">
      <c r="A23" s="4"/>
      <c r="B23" s="3"/>
    </row>
    <row r="24" spans="1:6" x14ac:dyDescent="0.25">
      <c r="A24" s="4"/>
    </row>
    <row r="25" spans="1:6" x14ac:dyDescent="0.25">
      <c r="A25" s="4"/>
    </row>
    <row r="26" spans="1:6" x14ac:dyDescent="0.25">
      <c r="A26" s="4"/>
    </row>
    <row r="27" spans="1:6" x14ac:dyDescent="0.25">
      <c r="A27" s="4"/>
    </row>
    <row r="28" spans="1:6" x14ac:dyDescent="0.25">
      <c r="A28" s="4"/>
    </row>
    <row r="29" spans="1:6" x14ac:dyDescent="0.25">
      <c r="A29" s="4"/>
    </row>
    <row r="30" spans="1:6" x14ac:dyDescent="0.25">
      <c r="A30" s="4"/>
    </row>
    <row r="31" spans="1:6" x14ac:dyDescent="0.25">
      <c r="A31" s="4"/>
    </row>
    <row r="32" spans="1:6" x14ac:dyDescent="0.25">
      <c r="A32" s="4"/>
      <c r="C32" s="3"/>
      <c r="D32" s="3"/>
      <c r="F32" s="3"/>
    </row>
    <row r="33" spans="1:5" x14ac:dyDescent="0.25">
      <c r="A33" s="4"/>
      <c r="D33" s="3"/>
    </row>
    <row r="34" spans="1:5" x14ac:dyDescent="0.25">
      <c r="A34" s="4"/>
    </row>
    <row r="35" spans="1:5" x14ac:dyDescent="0.25">
      <c r="A35" s="4"/>
    </row>
    <row r="36" spans="1:5" x14ac:dyDescent="0.25">
      <c r="A36" s="4"/>
    </row>
    <row r="37" spans="1:5" x14ac:dyDescent="0.25">
      <c r="A37" s="4"/>
    </row>
    <row r="38" spans="1:5" x14ac:dyDescent="0.25">
      <c r="A38" s="4"/>
    </row>
    <row r="39" spans="1:5" x14ac:dyDescent="0.25">
      <c r="A39" s="4"/>
    </row>
    <row r="40" spans="1:5" x14ac:dyDescent="0.25">
      <c r="A40" s="4"/>
      <c r="D40" s="3"/>
      <c r="E40" s="3"/>
    </row>
    <row r="41" spans="1:5" x14ac:dyDescent="0.25">
      <c r="A41" s="4"/>
    </row>
    <row r="42" spans="1:5" x14ac:dyDescent="0.25">
      <c r="A42" s="4"/>
    </row>
    <row r="43" spans="1:5" x14ac:dyDescent="0.25">
      <c r="A43" s="4"/>
    </row>
    <row r="44" spans="1:5" x14ac:dyDescent="0.25">
      <c r="A44" s="4"/>
    </row>
    <row r="45" spans="1:5" x14ac:dyDescent="0.25">
      <c r="A45" s="4"/>
    </row>
    <row r="46" spans="1:5" x14ac:dyDescent="0.25">
      <c r="A46" s="4"/>
    </row>
    <row r="47" spans="1:5" x14ac:dyDescent="0.25">
      <c r="A47" s="4"/>
    </row>
    <row r="48" spans="1:5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DE75-8846-4A81-8F05-F176543157E2}">
  <dimension ref="A1:H7"/>
  <sheetViews>
    <sheetView workbookViewId="0">
      <selection activeCell="C9" sqref="C9"/>
    </sheetView>
  </sheetViews>
  <sheetFormatPr baseColWidth="10" defaultRowHeight="15" x14ac:dyDescent="0.25"/>
  <cols>
    <col min="1" max="1" width="22.85546875" customWidth="1"/>
    <col min="2" max="2" width="22.7109375" customWidth="1"/>
    <col min="3" max="3" width="30.85546875" customWidth="1"/>
    <col min="4" max="4" width="32.42578125" customWidth="1"/>
    <col min="5" max="5" width="23.7109375" customWidth="1"/>
    <col min="6" max="6" width="17" customWidth="1"/>
    <col min="7" max="7" width="14.85546875" customWidth="1"/>
  </cols>
  <sheetData>
    <row r="1" spans="1:8" x14ac:dyDescent="0.25">
      <c r="A1" s="1" t="s">
        <v>0</v>
      </c>
      <c r="B1" s="1" t="s">
        <v>88</v>
      </c>
      <c r="C1" s="1" t="s">
        <v>1</v>
      </c>
      <c r="D1" s="1" t="s">
        <v>2</v>
      </c>
      <c r="E1" s="1" t="s">
        <v>83</v>
      </c>
      <c r="F1" s="1" t="s">
        <v>85</v>
      </c>
      <c r="G1" s="1" t="s">
        <v>90</v>
      </c>
      <c r="H1" s="1" t="s">
        <v>91</v>
      </c>
    </row>
    <row r="2" spans="1:8" x14ac:dyDescent="0.25">
      <c r="A2" s="1" t="s">
        <v>23</v>
      </c>
      <c r="B2" s="2">
        <v>51.82</v>
      </c>
      <c r="C2" s="2">
        <v>68.7</v>
      </c>
      <c r="D2" s="2">
        <v>38.799999999999997</v>
      </c>
      <c r="E2" s="2">
        <v>41</v>
      </c>
      <c r="F2" s="6">
        <v>0.74360499999999996</v>
      </c>
      <c r="G2">
        <v>6</v>
      </c>
      <c r="H2">
        <v>6664.1750000000002</v>
      </c>
    </row>
    <row r="3" spans="1:8" x14ac:dyDescent="0.25">
      <c r="A3" s="1" t="s">
        <v>50</v>
      </c>
      <c r="B3" s="2">
        <v>15.81</v>
      </c>
      <c r="C3" s="2">
        <v>62.87</v>
      </c>
      <c r="D3" s="2">
        <v>5.0199999999999996</v>
      </c>
      <c r="E3" s="2">
        <v>22</v>
      </c>
      <c r="F3" s="6">
        <v>0.62396689999999999</v>
      </c>
      <c r="G3" s="2">
        <v>8</v>
      </c>
      <c r="H3">
        <v>6958.92</v>
      </c>
    </row>
    <row r="4" spans="1:8" x14ac:dyDescent="0.25">
      <c r="A4" s="1" t="s">
        <v>10</v>
      </c>
      <c r="B4" s="2">
        <v>51.35</v>
      </c>
      <c r="C4" s="2">
        <v>58.63</v>
      </c>
      <c r="D4" s="2">
        <v>0</v>
      </c>
      <c r="E4" s="2">
        <v>15</v>
      </c>
      <c r="F4" s="6">
        <v>0.8265306</v>
      </c>
      <c r="G4" s="2">
        <v>9</v>
      </c>
      <c r="H4">
        <v>2142.2280000000001</v>
      </c>
    </row>
    <row r="5" spans="1:8" x14ac:dyDescent="0.25">
      <c r="A5" s="1" t="s">
        <v>11</v>
      </c>
      <c r="B5" s="2">
        <v>30.36</v>
      </c>
      <c r="C5" s="2">
        <v>55.76</v>
      </c>
      <c r="D5" s="2">
        <v>0</v>
      </c>
      <c r="E5" s="2">
        <v>42</v>
      </c>
      <c r="F5" s="6">
        <v>0.84473529999999997</v>
      </c>
      <c r="G5" s="2">
        <v>6</v>
      </c>
      <c r="H5">
        <v>6278.4189999999999</v>
      </c>
    </row>
    <row r="6" spans="1:8" x14ac:dyDescent="0.25">
      <c r="A6" s="1" t="s">
        <v>8</v>
      </c>
      <c r="B6" s="2">
        <v>20.46</v>
      </c>
      <c r="C6" s="2">
        <v>56.7</v>
      </c>
      <c r="D6" s="2">
        <v>17.57</v>
      </c>
      <c r="E6" s="2">
        <v>23</v>
      </c>
      <c r="F6" s="6">
        <v>0.80208330000000005</v>
      </c>
      <c r="G6">
        <v>6</v>
      </c>
      <c r="H6">
        <v>7040.3909999999996</v>
      </c>
    </row>
    <row r="7" spans="1:8" x14ac:dyDescent="0.25">
      <c r="A7" s="1" t="s">
        <v>24</v>
      </c>
      <c r="B7" s="2">
        <v>14.04</v>
      </c>
      <c r="C7" s="2">
        <v>75.430000000000007</v>
      </c>
      <c r="D7" s="2">
        <v>1.24</v>
      </c>
      <c r="E7" s="2">
        <v>13</v>
      </c>
      <c r="F7" s="6">
        <v>0.66272189999999997</v>
      </c>
      <c r="G7" s="2">
        <v>7</v>
      </c>
      <c r="H7">
        <v>5687.07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9DD-BCDE-4812-9045-5B6EE50B1986}">
  <dimension ref="A1:AB7"/>
  <sheetViews>
    <sheetView workbookViewId="0">
      <selection activeCell="G6" sqref="G6"/>
    </sheetView>
  </sheetViews>
  <sheetFormatPr baseColWidth="10" defaultRowHeight="15" x14ac:dyDescent="0.25"/>
  <sheetData>
    <row r="1" spans="1:28" x14ac:dyDescent="0.25">
      <c r="A1" t="s">
        <v>5</v>
      </c>
      <c r="B1" t="s">
        <v>71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4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25</v>
      </c>
      <c r="P1" t="s">
        <v>26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65</v>
      </c>
      <c r="W1" t="s">
        <v>78</v>
      </c>
      <c r="X1" t="s">
        <v>96</v>
      </c>
      <c r="Y1" t="s">
        <v>95</v>
      </c>
      <c r="Z1" t="s">
        <v>97</v>
      </c>
      <c r="AA1" t="s">
        <v>104</v>
      </c>
      <c r="AB1" t="s">
        <v>105</v>
      </c>
    </row>
    <row r="2" spans="1:28" x14ac:dyDescent="0.25">
      <c r="A2" t="s">
        <v>7</v>
      </c>
      <c r="B2" t="s">
        <v>71</v>
      </c>
      <c r="C2">
        <v>120</v>
      </c>
      <c r="D2">
        <v>35</v>
      </c>
      <c r="E2">
        <v>22</v>
      </c>
      <c r="F2">
        <v>23</v>
      </c>
      <c r="G2">
        <v>16</v>
      </c>
      <c r="H2">
        <v>15</v>
      </c>
      <c r="I2">
        <v>4</v>
      </c>
      <c r="J2">
        <v>9</v>
      </c>
      <c r="K2">
        <v>5</v>
      </c>
      <c r="L2">
        <v>16</v>
      </c>
      <c r="M2">
        <v>2</v>
      </c>
      <c r="N2">
        <v>3</v>
      </c>
      <c r="O2">
        <v>1</v>
      </c>
      <c r="P2">
        <v>10</v>
      </c>
      <c r="Q2">
        <v>5</v>
      </c>
      <c r="R2">
        <v>0</v>
      </c>
      <c r="S2">
        <v>0</v>
      </c>
      <c r="T2">
        <v>0</v>
      </c>
      <c r="U2">
        <v>0</v>
      </c>
      <c r="V2">
        <v>2</v>
      </c>
      <c r="W2">
        <v>1</v>
      </c>
      <c r="X2">
        <v>3</v>
      </c>
      <c r="Y2">
        <v>0</v>
      </c>
      <c r="Z2">
        <v>0</v>
      </c>
      <c r="AA2">
        <v>4</v>
      </c>
      <c r="AB2">
        <v>1</v>
      </c>
    </row>
    <row r="3" spans="1:28" x14ac:dyDescent="0.25">
      <c r="A3" t="s">
        <v>6</v>
      </c>
      <c r="B3" t="s">
        <v>71</v>
      </c>
      <c r="C3">
        <v>170</v>
      </c>
      <c r="D3">
        <v>11</v>
      </c>
      <c r="E3">
        <v>0</v>
      </c>
      <c r="F3">
        <v>29</v>
      </c>
      <c r="G3">
        <v>1</v>
      </c>
      <c r="H3">
        <v>2</v>
      </c>
      <c r="I3">
        <v>1</v>
      </c>
      <c r="J3">
        <v>18</v>
      </c>
      <c r="K3">
        <v>1</v>
      </c>
      <c r="L3">
        <v>9</v>
      </c>
      <c r="M3">
        <v>3</v>
      </c>
      <c r="N3">
        <v>1</v>
      </c>
      <c r="O3">
        <v>1</v>
      </c>
      <c r="P3">
        <v>20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10</v>
      </c>
      <c r="B4" t="s">
        <v>71</v>
      </c>
      <c r="C4">
        <v>270</v>
      </c>
      <c r="D4">
        <v>9</v>
      </c>
      <c r="E4">
        <v>0</v>
      </c>
      <c r="F4">
        <v>22</v>
      </c>
      <c r="G4">
        <v>0</v>
      </c>
      <c r="H4">
        <v>0</v>
      </c>
      <c r="I4">
        <v>9</v>
      </c>
      <c r="J4">
        <v>36</v>
      </c>
      <c r="K4">
        <v>1</v>
      </c>
      <c r="L4">
        <v>13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9</v>
      </c>
      <c r="B5" t="s">
        <v>71</v>
      </c>
      <c r="C5">
        <v>120</v>
      </c>
      <c r="D5">
        <v>11</v>
      </c>
      <c r="E5">
        <v>5</v>
      </c>
      <c r="F5">
        <v>50</v>
      </c>
      <c r="G5">
        <v>7</v>
      </c>
      <c r="H5">
        <v>12</v>
      </c>
      <c r="I5">
        <v>4</v>
      </c>
      <c r="J5">
        <v>22</v>
      </c>
      <c r="K5">
        <v>2</v>
      </c>
      <c r="L5">
        <v>3</v>
      </c>
      <c r="M5">
        <v>0</v>
      </c>
      <c r="N5">
        <v>0</v>
      </c>
      <c r="O5">
        <v>3</v>
      </c>
      <c r="P5">
        <v>0</v>
      </c>
      <c r="Q5">
        <v>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8</v>
      </c>
      <c r="B6" t="s">
        <v>71</v>
      </c>
      <c r="C6">
        <v>80</v>
      </c>
      <c r="D6">
        <v>27</v>
      </c>
      <c r="E6">
        <v>0</v>
      </c>
      <c r="F6">
        <v>51</v>
      </c>
      <c r="G6">
        <v>14</v>
      </c>
      <c r="H6">
        <v>9</v>
      </c>
      <c r="I6">
        <v>15</v>
      </c>
      <c r="J6">
        <v>25</v>
      </c>
      <c r="K6">
        <v>3</v>
      </c>
      <c r="L6">
        <v>1</v>
      </c>
      <c r="M6">
        <v>0</v>
      </c>
      <c r="N6">
        <v>0</v>
      </c>
      <c r="O6">
        <v>0</v>
      </c>
      <c r="P6">
        <v>3</v>
      </c>
      <c r="Q6">
        <v>2</v>
      </c>
      <c r="R6">
        <v>0</v>
      </c>
      <c r="S6">
        <v>0</v>
      </c>
      <c r="T6">
        <v>1</v>
      </c>
      <c r="U6">
        <v>1</v>
      </c>
      <c r="V6">
        <v>5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</row>
    <row r="7" spans="1:28" x14ac:dyDescent="0.25">
      <c r="A7" t="s">
        <v>11</v>
      </c>
      <c r="B7" t="s">
        <v>71</v>
      </c>
      <c r="C7">
        <v>120</v>
      </c>
      <c r="D7">
        <v>18</v>
      </c>
      <c r="E7">
        <v>0</v>
      </c>
      <c r="F7">
        <v>19</v>
      </c>
      <c r="G7">
        <v>5</v>
      </c>
      <c r="H7">
        <v>3</v>
      </c>
      <c r="I7">
        <v>14</v>
      </c>
      <c r="J7">
        <v>75</v>
      </c>
      <c r="K7">
        <v>2</v>
      </c>
      <c r="L7">
        <v>14</v>
      </c>
      <c r="M7">
        <v>0</v>
      </c>
      <c r="N7">
        <v>0</v>
      </c>
      <c r="O7">
        <v>1</v>
      </c>
      <c r="P7">
        <v>0</v>
      </c>
      <c r="Q7">
        <v>11</v>
      </c>
      <c r="R7">
        <v>2</v>
      </c>
      <c r="S7">
        <v>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PARQUES VS VARIABLES (2)</vt:lpstr>
      <vt:lpstr>Aves</vt:lpstr>
      <vt:lpstr>PARQUES VS VARIABLES</vt:lpstr>
      <vt:lpstr>PERMANOVA Y SIMPER</vt:lpstr>
      <vt:lpstr>Plantas</vt:lpstr>
      <vt:lpstr>Variables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LETICIA BRENES JIMENEZ</dc:creator>
  <cp:lastModifiedBy>ARIAN LETICIA BRENES JIMENEZ</cp:lastModifiedBy>
  <dcterms:created xsi:type="dcterms:W3CDTF">2025-05-27T16:34:34Z</dcterms:created>
  <dcterms:modified xsi:type="dcterms:W3CDTF">2026-07-10T00:16:55Z</dcterms:modified>
</cp:coreProperties>
</file>